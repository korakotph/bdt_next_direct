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949d5cffdee8d/เดสก์ท็อป/"/>
    </mc:Choice>
  </mc:AlternateContent>
  <xr:revisionPtr revIDLastSave="0" documentId="8_{5B457656-804A-43E4-92BD-CE5BE304B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D" sheetId="4" r:id="rId1"/>
    <sheet name="KPI" sheetId="1" r:id="rId2"/>
    <sheet name="CC" sheetId="2" r:id="rId3"/>
    <sheet name="SumKPI" sheetId="3" r:id="rId4"/>
    <sheet name="Part7,8" sheetId="5" r:id="rId5"/>
    <sheet name="Part1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F96" i="1"/>
  <c r="F95" i="1"/>
  <c r="F97" i="1" l="1"/>
  <c r="D24" i="4"/>
  <c r="L7" i="3" l="1"/>
  <c r="L6" i="3"/>
  <c r="L8" i="3"/>
  <c r="L9" i="3"/>
  <c r="G82" i="1"/>
  <c r="G78" i="1"/>
  <c r="G79" i="1"/>
  <c r="L10" i="3" l="1"/>
  <c r="G80" i="1"/>
  <c r="G96" i="1" s="1"/>
  <c r="G81" i="1"/>
  <c r="I14" i="2"/>
  <c r="I13" i="2"/>
  <c r="I12" i="2"/>
  <c r="I11" i="2"/>
  <c r="I10" i="2"/>
  <c r="I9" i="2"/>
  <c r="I8" i="2"/>
  <c r="I6" i="2"/>
  <c r="I4" i="2"/>
  <c r="I15" i="2" s="1"/>
  <c r="D85" i="1"/>
  <c r="F87" i="1"/>
  <c r="D86" i="1" s="1"/>
  <c r="B3" i="5" l="1"/>
  <c r="D3" i="5" s="1"/>
  <c r="I16" i="2"/>
  <c r="I17" i="2" s="1"/>
  <c r="D87" i="1"/>
  <c r="F83" i="1"/>
  <c r="G4" i="1"/>
  <c r="G5" i="1"/>
  <c r="G6" i="1"/>
  <c r="G7" i="1"/>
  <c r="G77" i="1"/>
  <c r="G9" i="1"/>
  <c r="G10" i="1"/>
  <c r="G11" i="1"/>
  <c r="G12" i="1"/>
  <c r="G8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3" i="1"/>
  <c r="G95" i="1" l="1"/>
  <c r="G97" i="1" s="1"/>
  <c r="I18" i="2"/>
  <c r="B4" i="5"/>
  <c r="D88" i="1"/>
  <c r="G83" i="1"/>
  <c r="D4" i="5" l="1"/>
  <c r="D5" i="5" s="1"/>
</calcChain>
</file>

<file path=xl/sharedStrings.xml><?xml version="1.0" encoding="utf-8"?>
<sst xmlns="http://schemas.openxmlformats.org/spreadsheetml/2006/main" count="487" uniqueCount="294">
  <si>
    <t>ID</t>
  </si>
  <si>
    <t>ด้าน</t>
  </si>
  <si>
    <t>ภาระงาน</t>
  </si>
  <si>
    <t>หน่วยนับ</t>
  </si>
  <si>
    <t>ค่าภาระงาน</t>
  </si>
  <si>
    <t>ชั่วโมงทำงาน</t>
  </si>
  <si>
    <t>admin</t>
  </si>
  <si>
    <t>ชม</t>
  </si>
  <si>
    <t>งานพัฒนาโปรแกรม</t>
  </si>
  <si>
    <t>วางแผนและวิเคราะห์ระบบ</t>
  </si>
  <si>
    <t>Computer Graphic เคลื่อนไหว</t>
  </si>
  <si>
    <t>Instruction Design</t>
  </si>
  <si>
    <t>Teacher Assistant</t>
  </si>
  <si>
    <t>สอน</t>
  </si>
  <si>
    <t>งานMonitor</t>
  </si>
  <si>
    <t>งานReport</t>
  </si>
  <si>
    <t>งานพัฒนาระบบงานใหม่</t>
  </si>
  <si>
    <t>งานรักษาความปลอดภัยเครื่องแม่ข่าย/อุปกรณ์เครือข่าย</t>
  </si>
  <si>
    <t>Broadcasting,Video Tele Conference</t>
  </si>
  <si>
    <t>ประชาสัมพันธ์</t>
  </si>
  <si>
    <t>งานวิจัย</t>
  </si>
  <si>
    <t>งาน(OT)</t>
  </si>
  <si>
    <t>คู่มือ</t>
  </si>
  <si>
    <t>ชม(OT)</t>
  </si>
  <si>
    <t>บทความ</t>
  </si>
  <si>
    <t>งานบริการ Counter Service</t>
  </si>
  <si>
    <t>งานบริการ Open Learning Space</t>
  </si>
  <si>
    <t>งานบริการเครื่องคอมพิวเตอร์และอุปกรณ์ต่อพ่วง,ให้บริการยืมคืนอุปกรณ์</t>
  </si>
  <si>
    <t>งานบริการห้อง free lab, งานให้บริการเครื่องพิมพ์และกระดาษ</t>
  </si>
  <si>
    <t>งานบริการห้อง free lab, งานให้บริการเครื่องพิมพ์และกระดาษ(OT)</t>
  </si>
  <si>
    <t>งานบริการห้องเพื่อการเรียนการสอน</t>
  </si>
  <si>
    <t>งานบริการห้องเพื่อการเรียนการสอน(OT)</t>
  </si>
  <si>
    <t>งานเตรียมความพร้อมทางด้าน ICT</t>
  </si>
  <si>
    <t>SEC</t>
  </si>
  <si>
    <t>งานการประชุม</t>
  </si>
  <si>
    <t>จัดทำโครงการต่างๆของศูนย์ฯเพื่อเสนอผู้บริหาร</t>
  </si>
  <si>
    <t>จัดทำงบประมาณประจำปีของศูนย์ฯ</t>
  </si>
  <si>
    <t>จัดทำแผนงานต่างๆของศูนย์และของมหาวิทยาลัย</t>
  </si>
  <si>
    <t>จัดทำรายงานSAR ในการตรวจประเมินภายใน</t>
  </si>
  <si>
    <t>ติดตามและรายงานผลตามแผนการดำเนินงานประจำปี</t>
  </si>
  <si>
    <t>เตรียมข้อมูลและเตรียมเอกสารอ้างอิงในการทำรายงานการตรวจประเมินภายใน</t>
  </si>
  <si>
    <t>รวบรวมข้อมูลในการทำรายงานการตรวจประเมิน</t>
  </si>
  <si>
    <t>งานประสานงานด้านประกันคุณภาพ</t>
  </si>
  <si>
    <t>รวบรวมข้อมูลและสถิติต่างๆเพื่อจัดทำรายงานประจำปี</t>
  </si>
  <si>
    <t>รวบรวมแผนการดำเนินงานประจำปี</t>
  </si>
  <si>
    <t>รายงานผลการดำเนินงานต่างๆและการใช้จ่ายงบประมาณ</t>
  </si>
  <si>
    <t>งานให้บริการซอฟแวร์ของมหาวิทยาลัย</t>
  </si>
  <si>
    <t>งานให้บริการด้าน วิเคราะห์และตรวจข้อสอบ</t>
  </si>
  <si>
    <t>งานให้บริการรับสมัครสอบโควต้า</t>
  </si>
  <si>
    <t>จัดหาวิทยากร</t>
  </si>
  <si>
    <t>จัดทำหลักสูตรฝึกอบรม</t>
  </si>
  <si>
    <t>สัมมนา,อบรม,ศึกษา(ภายในหรือตามที่ได้รับมอบหมาย)</t>
  </si>
  <si>
    <t>สัมมนา,อบรม,ศึกษา(ภายนอก)</t>
  </si>
  <si>
    <t>งานประชุมในฐานะกรรมการชุดต่างๆในมหาวิทยาลัย</t>
  </si>
  <si>
    <t>งานประชุมในฐานะกรรมการชุดต่างๆนอกมหาวิทยาลัย</t>
  </si>
  <si>
    <t>ถ่ายทอดความรู้ในฝ่าย</t>
  </si>
  <si>
    <t>หัวหน้าโครงการ/ผู้รับผิดชอบโครงการ</t>
  </si>
  <si>
    <t>โครงการ(OT)</t>
  </si>
  <si>
    <t>วิทยากร</t>
  </si>
  <si>
    <t>ผู้ช่วยวิทยากร</t>
  </si>
  <si>
    <t>กิจกรรมต่างๆของมหาวิทยาลัย</t>
  </si>
  <si>
    <t>พี่เลี้ยงนักศึกษาฝึกงาน,สอนงาน</t>
  </si>
  <si>
    <t>การจัดทำTOR</t>
  </si>
  <si>
    <t>ตรวจเช็คดูแลรักษาอุปกรณ์</t>
  </si>
  <si>
    <t>ที่ปรึกษาหน่วยงานภายนอก</t>
  </si>
  <si>
    <t>งานอื่นๆที่ได้รับมอบหมาย</t>
  </si>
  <si>
    <t>ป่วย</t>
  </si>
  <si>
    <t>วัน</t>
  </si>
  <si>
    <t>กิจ</t>
  </si>
  <si>
    <t>พักผ่อน</t>
  </si>
  <si>
    <t>คงเหลือชั่วโมงทำงาน</t>
  </si>
  <si>
    <t>รวมลา</t>
  </si>
  <si>
    <t>ขาด/เกิน</t>
  </si>
  <si>
    <t>สาย</t>
  </si>
  <si>
    <t>ภาระงาน(E*F)</t>
  </si>
  <si>
    <t>รวม</t>
  </si>
  <si>
    <t>จำนวนวันทำงานทั้งหมดในรอบนี้</t>
  </si>
  <si>
    <t>คิดเป็นชั่วโมง(วัน*7)</t>
  </si>
  <si>
    <t>รวมจำนวนลา(ชั่วโมง)</t>
  </si>
  <si>
    <t>M&amp;D</t>
  </si>
  <si>
    <t>งานให้บริการฐานข้อมูล</t>
  </si>
  <si>
    <t>การจัดการการเข้าถึงข้อมูล</t>
  </si>
  <si>
    <t>งานbackup</t>
  </si>
  <si>
    <t>งานบริการเครื่องแม่ข่าย/อุปกรณ์เครือข่าย</t>
  </si>
  <si>
    <t>IA</t>
  </si>
  <si>
    <t>งานให้บริการพัฒนาเว็บไซต์ (programing)</t>
  </si>
  <si>
    <t>งานให้บริการอัพเดทข้อมูลเว็บไซต์ของมหาวิทยาลัย (ไม่รวมเวลาออกแบบ)</t>
  </si>
  <si>
    <t>งานให้บริการพัฒนาเว็บไซต์ (เครื่องมือสำเร็จรูปCMS)</t>
  </si>
  <si>
    <t xml:space="preserve">งานให้บริการด้าน GIS </t>
  </si>
  <si>
    <t>Computer Graphic นิ่ง</t>
  </si>
  <si>
    <t>งานโสตทัศนูปกรณ์ (ภาพเคลื่อนไหว)</t>
  </si>
  <si>
    <t>งานโสตทัศนูปกรณ์ (ภาพนิ่ง)</t>
  </si>
  <si>
    <t>ITS</t>
  </si>
  <si>
    <t>งานรักษาความปลอดภัย (กล้องวงจรปิดและบัตรเข้าออก)</t>
  </si>
  <si>
    <t>งานสารบรรณ</t>
  </si>
  <si>
    <t>งานธุรการ</t>
  </si>
  <si>
    <t>งานบุคคล</t>
  </si>
  <si>
    <t>งานประชาสัมพันธ์</t>
  </si>
  <si>
    <t>งานพัสดุ </t>
  </si>
  <si>
    <t>งานการเงิน</t>
  </si>
  <si>
    <t>งานบัญชี</t>
  </si>
  <si>
    <t>ALL</t>
  </si>
  <si>
    <t>คณะกรรมการต่างๆ (กรณีงานนอกเหนือจากหน้าที่ตนเอง)</t>
  </si>
  <si>
    <t>งานให้บริการปรึกษา,แก้ไขปัญหาต่างๆ ด้าน IT</t>
  </si>
  <si>
    <t>ระดับคาดหวัง</t>
  </si>
  <si>
    <t>ผลประเมิน</t>
  </si>
  <si>
    <t>GAP</t>
  </si>
  <si>
    <t>&lt;3</t>
  </si>
  <si>
    <t>3-5</t>
  </si>
  <si>
    <t>&gt;5</t>
  </si>
  <si>
    <t>1-4</t>
  </si>
  <si>
    <t>(+/-)</t>
  </si>
  <si>
    <t>จำนวนสมรรถนะที่มีผลลัพธ์ไม่ต่ำกว่าระดับที่คาดหวัง</t>
  </si>
  <si>
    <t>ผลคะแนนรวม</t>
  </si>
  <si>
    <t>No</t>
  </si>
  <si>
    <t>ตัวชี้วัด</t>
  </si>
  <si>
    <t>เป้าหมาย</t>
  </si>
  <si>
    <t>คะแนน</t>
  </si>
  <si>
    <t>หมายเหตุ</t>
  </si>
  <si>
    <t>KPI1</t>
  </si>
  <si>
    <t>≥ 80%</t>
  </si>
  <si>
    <t>≥ 70%</t>
  </si>
  <si>
    <t>KPI2</t>
  </si>
  <si>
    <t>งานตามแผนยุทธศาสตร์</t>
  </si>
  <si>
    <t>KPI3</t>
  </si>
  <si>
    <t>KPI4</t>
  </si>
  <si>
    <t>≥111%</t>
  </si>
  <si>
    <t>≥ 95%</t>
  </si>
  <si>
    <t>&lt; 70%</t>
  </si>
  <si>
    <t>c=(axb)/100คะแนนรวม</t>
  </si>
  <si>
    <t>กิจกรรม/โครงการ/งาน</t>
  </si>
  <si>
    <t>ค่าเฉลี่ย Manhour</t>
  </si>
  <si>
    <t>ระดับ</t>
  </si>
  <si>
    <t>Description</t>
  </si>
  <si>
    <t>Beginning</t>
  </si>
  <si>
    <t>Apply</t>
  </si>
  <si>
    <t>ประยุกต์ใช้ในงาน</t>
  </si>
  <si>
    <t>Coach</t>
  </si>
  <si>
    <t>Consultant</t>
  </si>
  <si>
    <t>Change Agent</t>
  </si>
  <si>
    <t>บริหารจัดการระดับองค์กร</t>
  </si>
  <si>
    <t>CountA(B3:B12)</t>
  </si>
  <si>
    <t>(a)
ค่าน้ำหนัก (%)</t>
  </si>
  <si>
    <t>(b)
ผลประเมิน</t>
  </si>
  <si>
    <t>ส่วนที่ 3 : ใบกำหนดหน้าที่งาน (Job Descritption)</t>
  </si>
  <si>
    <t>3.1 ความรับผิดชอบหลัก</t>
  </si>
  <si>
    <t>ความรับผิดชอบหลัก</t>
  </si>
  <si>
    <t>กิจกรรมหลัก</t>
  </si>
  <si>
    <t>ผลงานที่คาดหวัง</t>
  </si>
  <si>
    <t>งานหลัก</t>
  </si>
  <si>
    <t>งานรอง</t>
  </si>
  <si>
    <t>ส่วนที่ 4 : ปัจจัยวัดผลสัมฤทธิ์ของงานด้านตัวชี้วัดผลงานหลัก (Key Performance Indicators : KPIs)</t>
  </si>
  <si>
    <t>4.1 การประเมินผลงานตามแผนงานโครงการ (ผลงานตามแผนปฏิบัติราชการ ตามคำรับรองการปฏิบัติราชการ) ประเมินผลงานของงานประจำที่เป็นงานหลัก</t>
  </si>
  <si>
    <t>ส่วนที่ 5 : การประเมินพฤติกรรมการปฏิบัติงานด้านความสามารถหรือสมรรถนะ (Competency)</t>
  </si>
  <si>
    <t>ความหมาย</t>
  </si>
  <si>
    <t>องค์ประกอบการประเมิน</t>
  </si>
  <si>
    <t>องค์ประกอบที่ ๑ ผลสัมฤทธิ์ของงานด้านตัวชี้วัดผลงานหลัก (Key Performance Indicators : KPIs)</t>
  </si>
  <si>
    <t>องค์ประกอบที่ ๒ การประเมินพฤติกรรมการปฏิบัติงานด้านความสามารถหรือสมรรถนะ (Competency)</t>
  </si>
  <si>
    <t>ส่วนที่ 7 : สรุปผลการประเมินการปฏิบัติงาน</t>
  </si>
  <si>
    <t>๔.๕๐ – ๕.๐๐</t>
  </si>
  <si>
    <t>หมายถึง</t>
  </si>
  <si>
    <t>ผ่านการประเมินในระดับดีเด่น</t>
  </si>
  <si>
    <t>เทียบเท่ากับคะแนนร้อยละ ๙๐ – ๑๐๐</t>
  </si>
  <si>
    <t>๔.๐๐ – ๔.๔๙</t>
  </si>
  <si>
    <t>ผ่านการประเมินในระดับดีมาก</t>
  </si>
  <si>
    <t>เทียบเท่ากับคะแนนร้อยละ ๘๐ – ๘๙</t>
  </si>
  <si>
    <t>๓.๕๐ – ๓.๙๙</t>
  </si>
  <si>
    <t xml:space="preserve">ผ่านการประเมินในระดับดี </t>
  </si>
  <si>
    <t>เทียบเท่ากับคะแนนร้อยละ ๗๐ – ๗๙</t>
  </si>
  <si>
    <t>๓.๐๐ – ๓.๔๙</t>
  </si>
  <si>
    <t>ผ่านการประเมินในระดับพอใช้</t>
  </si>
  <si>
    <t>เทียบเท่ากับคะแนนร้อยละ ๖๐ – ๖๙</t>
  </si>
  <si>
    <t>ต่ำกว่า ๓.๐๐</t>
  </si>
  <si>
    <t>ผลการปฏิบัติงานต้องปรับปรุง</t>
  </si>
  <si>
    <t>เทียบเท่ากับคะแนนต่ำกว่าร้อยละ ๖๐</t>
  </si>
  <si>
    <t>(ก)คะแนน</t>
  </si>
  <si>
    <t>(ข)
น้ำหนัก (%)</t>
  </si>
  <si>
    <t>ส่วนที่ 8 : การวิเคราะห์ผลการประเมินของผู้ประเมิน</t>
  </si>
  <si>
    <t>1. จุดเด่น/แนวทางเสริม</t>
  </si>
  <si>
    <t>2. จุดที่ควรพัฒนา/แนวทางการปรับปรุง</t>
  </si>
  <si>
    <t>ส่วนที่ 12 : แผนพัฒนาของผู้ถูกประเมิน (Individual Development Plan : IDP)</t>
  </si>
  <si>
    <t>สมรรถนะ</t>
  </si>
  <si>
    <t>เป้าหมายการพัฒนา</t>
  </si>
  <si>
    <t>วิธีการพัฒนา</t>
  </si>
  <si>
    <t>แผนการพัฒนา (ปีงบประมาณ พ.ศ. .....)</t>
  </si>
  <si>
    <t>ทรัพยากรที่ต้องใช้</t>
  </si>
  <si>
    <t>(งบประมาณ/วัสดุ/อุปกรณ์)</t>
  </si>
  <si>
    <t>การประเมินผล/ผลการพัฒนา</t>
  </si>
  <si>
    <t>รายการ</t>
  </si>
  <si>
    <t>กิจกรรมการพัฒนา</t>
  </si>
  <si>
    <t>ไตรมาส๑</t>
  </si>
  <si>
    <t>ไตรมาส๒</t>
  </si>
  <si>
    <t>ไตรมาส๓</t>
  </si>
  <si>
    <t>ไตรมาส๔</t>
  </si>
  <si>
    <t>วัน/เดือน/ปี</t>
  </si>
  <si>
    <t>ผู้พัฒนารับรอง</t>
  </si>
  <si>
    <t>(ค)=
[(ก)x(ข)]/100
รวมคะแนน</t>
  </si>
  <si>
    <t>ความสามารถหรือสมรรถนะ 
(Competency)</t>
  </si>
  <si>
    <t>รายละเอียด/ข้อมูลเพิ่มเติม</t>
  </si>
  <si>
    <t>4.2 สมรรถนะที่พึงประสงค์ตามที่มหาวิทยาลัยกำหนด (Expected competency SU)</t>
  </si>
  <si>
    <t>๑. การใช้เทคโนโลยีสารสนเทศเพื่อพัฒนาประสิทธิภาพการทำงาน</t>
  </si>
  <si>
    <t>๒. การเสริมสร้างความรู้ความเข้าใจเกี่ยวกับกฎหมาย กฎ ระเบียบ และข้อบังคับที่เกี่ยวข้องกับการปฏิบัติงาน</t>
  </si>
  <si>
    <t>๓. การพัฒนาทักษะในการปรับปรุงกระบวนการทำงานและงานประจำให้มีประสิทธิภาพ</t>
  </si>
  <si>
    <t>4.3 สมรรถนะที่พึงพประสงค์ตามที่มหาวิทยาลัยกำหนด (Expected competency SU) แกนกลาง 6 ด้าน</t>
  </si>
  <si>
    <t>๑. มุ่งมั่นสู่ความเป็นเลิศ</t>
  </si>
  <si>
    <t>๒. ยึดมั่นธรรมาภิบาลและรับผิดชอบต่อสังคม</t>
  </si>
  <si>
    <t>๓. ขับเคลื่อนคุณภาพด้วยข้อมูลและเทคโนโลยีดิจิทัล</t>
  </si>
  <si>
    <t>๔. การมุ่งเน้นลูกค้า</t>
  </si>
  <si>
    <t>๕. การบูรณาการความร่วมมือเชิงกลยุทธ์</t>
  </si>
  <si>
    <t>๖. การปรับตัวเพื่อเปลี่ยนแปลงอย่างสร้างสรรค์</t>
  </si>
  <si>
    <t>เต็ม 5</t>
  </si>
  <si>
    <t>ถ่วง 30%</t>
  </si>
  <si>
    <t>เรียนรู้ มีความเข้าใจ</t>
  </si>
  <si>
    <t>แนะนำ สอนงาน</t>
  </si>
  <si>
    <t>เชี่ยวชาญ ให้คำปรึกษา</t>
  </si>
  <si>
    <t>งานอื่นๆ ที่ได้รับมอบหมาย</t>
  </si>
  <si>
    <t>รายงานผลการดำเนินงานพร้อมระบุปริมาณงานที่ดำเนินการแล้วเสร็จ</t>
  </si>
  <si>
    <t>Part 6</t>
  </si>
  <si>
    <t>CountIF((I4:I13),”&gt;=0”)</t>
  </si>
  <si>
    <t>จำนวนสมรรถนะทั้งหมด 9</t>
  </si>
  <si>
    <t>I15X100/จำนวนสมรรถนะทั้งหมด(9)</t>
  </si>
  <si>
    <t>I16X5/100</t>
  </si>
  <si>
    <t>I17x30/100</t>
  </si>
  <si>
    <t>ทันเวลา
≥ 90%</t>
  </si>
  <si>
    <t>ทันเวลา
80-89%</t>
  </si>
  <si>
    <t>ทันเวลา
&gt;80%</t>
  </si>
  <si>
    <t>ทันเวลา
&gt; 70%</t>
  </si>
  <si>
    <t>ทันเวลา
&lt; 60%</t>
  </si>
  <si>
    <t>ร้อยละความสำเร็จ ของงานที่แล้วเสร็จตามกำหนด SLA</t>
  </si>
  <si>
    <t>ประเภทงาน</t>
  </si>
  <si>
    <t>1 งานประจำ(หลัก/รอง/อื่นๆ)</t>
  </si>
  <si>
    <t>2 งานตามแผนยุทธศาสตร์</t>
  </si>
  <si>
    <t>KPI3 งานประจำ</t>
  </si>
  <si>
    <t>KPI4 งานตามแผนยุทธศาสตร์</t>
  </si>
  <si>
    <t>รวมชั่วโมง</t>
  </si>
  <si>
    <t>รวมWorkload</t>
  </si>
  <si>
    <t>ผู้บังคับบัญชาประเมิน</t>
  </si>
  <si>
    <t>ชั่วโมงที่เกินรวมแล้วต้องไม่เกินชั่วโมงที่เป็น OT ทุกงานรวมกัน</t>
  </si>
  <si>
    <t>งานประจำ(หลัก/รอง/อื่นๆ)</t>
  </si>
  <si>
    <t>หลักเกณฑ์และวิธีการประเมินผลการปฏิบัติงาน 2561</t>
  </si>
  <si>
    <t>ระดับตำแหน่ง</t>
  </si>
  <si>
    <t>ระดับที่คาดหวัง</t>
  </si>
  <si>
    <t>สายสนับสนุน</t>
  </si>
  <si>
    <t>ปฏิบัติการ</t>
  </si>
  <si>
    <t>ชำนาญการ</t>
  </si>
  <si>
    <t>ชำนาญการพิเศษ</t>
  </si>
  <si>
    <t>เชี่ยวชาญ</t>
  </si>
  <si>
    <t>เชี่ยวชาญพิเศษ</t>
  </si>
  <si>
    <t>***เลือกด้านใดด้านหนึ่งใน 3</t>
  </si>
  <si>
    <t>9.1.1Core competency พนักงานมหาลัย ประเภทประจำ</t>
  </si>
  <si>
    <t>9.2 สมรรถนะการบริหารจัดการ Managerial Competency พนักงานมหาลัย ประเภทประจำ</t>
  </si>
  <si>
    <t>ดำรงตำแหน่ง</t>
  </si>
  <si>
    <t>ผู้ดำรงตำแหน่ง (สายสนับสนุน)</t>
  </si>
  <si>
    <t>หัวหน้างานหรือเทียบเท่า</t>
  </si>
  <si>
    <t>ผู้อำนวยการกองหรือเทียบเท่า</t>
  </si>
  <si>
    <t>ผู้อำนวยการสำนักงานอธิการบดี/ผู้อำนวยการสำนักงานสภามหาวิทยาลัย</t>
  </si>
  <si>
    <r>
      <t>งานบริหาร</t>
    </r>
    <r>
      <rPr>
        <sz val="12"/>
        <color rgb="FF000000"/>
        <rFont val="TH Sarabun New"/>
        <family val="2"/>
      </rPr>
      <t>(สำหรับผู้ดำรงตำแหน่งบริหาร)</t>
    </r>
  </si>
  <si>
    <r>
      <t>รายงานภาระงานของนาย กรกช พรมใจมั่น ประจำรอบ 1/2569
ระหว่างวันที่ 1 ตุลาคม 2568 ถึง 31 มีนาคม 256</t>
    </r>
    <r>
      <rPr>
        <sz val="22"/>
        <color theme="0"/>
        <rFont val="TH Sarabun New"/>
        <family val="2"/>
      </rPr>
      <t>9</t>
    </r>
  </si>
  <si>
    <t xml:space="preserve">1. ระบบการลาออนไลน์ </t>
  </si>
  <si>
    <t>1.งานออกแบบ ดูแล และพัฒนาระบบ</t>
  </si>
  <si>
    <t>2. ระบบ SU Web Portal</t>
  </si>
  <si>
    <t>3. ระบบ Digital transcript</t>
  </si>
  <si>
    <t>4. ระบบถวายพระพรออนไลน์</t>
  </si>
  <si>
    <t>โครงการ/งานตามแผนยุทธศาสตร์ Green office</t>
  </si>
  <si>
    <t>โครงการ/งานตามแผนยุทธศาสตร์ Service Now</t>
  </si>
  <si>
    <t>โครงการ/งานตามแผนยุทธศาสตร์ ติดตั้ง WIFI</t>
  </si>
  <si>
    <t>โครงการ/งานตามแผนยุทธศาสตร์ Workflow/BI report</t>
  </si>
  <si>
    <t>2. พัฒนาส่วนเพิ่มเติม ธรรมาภิบาลข้อมูล บนเว็บไซต์มหาวิทยาลัย</t>
  </si>
  <si>
    <t>1. พัฒนาเว็บไซต์ SU SMILE งานบริการกลาง กองกลาง วังท่าพระ</t>
  </si>
  <si>
    <t>6. เว็บไซต์ และระบบจัดการเนื้อหาเว็บไซต์มหาวิทยาลัย</t>
  </si>
  <si>
    <t>5. ระบบ E-meeting</t>
  </si>
  <si>
    <t>2.งานตรวจสอบ และปรับปรุงข้อมูล</t>
  </si>
  <si>
    <t>4. ตรวจสอบ และรายงานเว็บไซต์สำนักงานอธิการบดี</t>
  </si>
  <si>
    <t>3. ตรวจสอบ และรายงานเว็บไซต์สำนักดิจิทัล</t>
  </si>
  <si>
    <t>4. ตรวจสอบ และรายงานเว็บไซต์หลักสูตรนานาชาติ</t>
  </si>
  <si>
    <t>นาย กรกช  พรมใจมั่น</t>
  </si>
  <si>
    <t>อบรมออนไลน์หลักสูตร SUITCoP 2025 หัวข้อ"การรับมือภัยคุกคามเว็บไซต์"</t>
  </si>
  <si>
    <t>ServiceNow : UserTraining</t>
  </si>
  <si>
    <t>โครงการสำนักงานสีเขียว หมวด 4 การจัดการของเสีย</t>
  </si>
  <si>
    <t>มาตรฐานความปลอดภัยเว็บไซต์ (Website Security Standards 1.0) การเตรียมตัวให้พร้อมรับมือภัยไซเบอร์ยุคใหม่</t>
  </si>
  <si>
    <t>2. เชื่อมต่อข้อมูลจากระบบอื่นๆ เข้าด้วยกัน</t>
  </si>
  <si>
    <t>1. ปรับปรุงแก้ไขข้อมูลระบบ ให้ถูกต้อง</t>
  </si>
  <si>
    <t>3. จัดเก็บ และลบข้อมูลที่ไม่ได้ใช้</t>
  </si>
  <si>
    <t>ความรู้เรื่องกระบวนการทำงานของหน่วยงานภายนอก</t>
  </si>
  <si>
    <t>เข้าใจเนื้อหางาน และวิ่งที่ต้องทำได้เร็ว</t>
  </si>
  <si>
    <t>แก้ปัญหางานได้เร็ว</t>
  </si>
  <si>
    <t>แนวการเสริม เข้าร่วมฟังงานที่ต้องทำ เพื่อให้รู้จุดประสงค์ที่ต้องการ หรืองานที่ให้ทำ</t>
  </si>
  <si>
    <t>แนวการปรับปรุง เข้าร่วมฟังงานที่ต้องทำ เพื่อให้สอบถามพูดคุยถึงการบวนการทำงานที่เคยทำมา</t>
  </si>
  <si>
    <t>ระบบเสร็จสมบูรณ์</t>
  </si>
  <si>
    <t>7. เว็บไซต์ และระบบจัดการเนื้อหาเว็บไซต์ Greenoffice</t>
  </si>
  <si>
    <t>ข้อมูลมีความถูกต้อง และเป็นปัจจุบัน</t>
  </si>
  <si>
    <t>มีข้อมูลสำรอง และไม่มีข้อมูลที่ไม่ได้ใช้งาน</t>
  </si>
  <si>
    <t>1. งานติดต่อประสานงานาจาก service now</t>
  </si>
  <si>
    <t>รับติดต่อ และกระจายงานจาก service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</si>
</sst>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scheme val="minor"/>
    </font>
    <font>
      <sz val="12"/>
      <color theme="1"/>
      <name val="TH SarabunPSK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b/>
      <sz val="14"/>
      <color rgb="FF000000"/>
      <name val="TH Sarabun New"/>
      <family val="2"/>
    </font>
    <font>
      <sz val="16"/>
      <color rgb="FF000000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sz val="8"/>
      <name val="Calibri"/>
      <family val="2"/>
      <scheme val="minor"/>
    </font>
    <font>
      <sz val="16"/>
      <color theme="1"/>
      <name val="TH Sarabun New"/>
      <family val="2"/>
    </font>
    <font>
      <b/>
      <sz val="20"/>
      <color theme="1"/>
      <name val="TH Sarabun New"/>
      <family val="2"/>
    </font>
    <font>
      <sz val="20"/>
      <color theme="1"/>
      <name val="TH Sarabun New"/>
      <family val="2"/>
    </font>
    <font>
      <b/>
      <sz val="18"/>
      <color rgb="FF000000"/>
      <name val="TH Sarabun New"/>
      <family val="2"/>
    </font>
    <font>
      <sz val="12"/>
      <color theme="1"/>
      <name val="TH Sarabun New"/>
      <family val="2"/>
    </font>
    <font>
      <b/>
      <u/>
      <sz val="20"/>
      <color theme="1"/>
      <name val="TH Sarabun New"/>
      <family val="2"/>
    </font>
    <font>
      <sz val="20"/>
      <color theme="0"/>
      <name val="TH Sarabun New"/>
      <family val="2"/>
    </font>
    <font>
      <sz val="22"/>
      <color theme="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FF0000"/>
      <name val="TH Sarabun New"/>
      <family val="2"/>
    </font>
    <font>
      <sz val="12"/>
      <color rgb="FFFF0000"/>
      <name val="TH Sarabun New"/>
      <family val="2"/>
    </font>
    <font>
      <sz val="18"/>
      <color rgb="FF000000"/>
      <name val="TH Sarabun New"/>
      <family val="2"/>
    </font>
    <font>
      <b/>
      <sz val="22"/>
      <color theme="1"/>
      <name val="TH Sarabun New"/>
      <family val="2"/>
    </font>
    <font>
      <sz val="14"/>
      <color rgb="FF000000"/>
      <name val="TH Sarabun New"/>
      <family val="2"/>
    </font>
    <font>
      <sz val="18"/>
      <color rgb="FFFF0000"/>
      <name val="TH Sarabun New"/>
      <family val="2"/>
    </font>
    <font>
      <sz val="18"/>
      <color theme="1"/>
      <name val="TH Sarabun New"/>
      <family val="2"/>
    </font>
    <font>
      <b/>
      <sz val="24"/>
      <color theme="1"/>
      <name val="TH Sarabun New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7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2" fontId="3" fillId="7" borderId="16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0" borderId="16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5" fillId="0" borderId="0" xfId="0" applyFont="1"/>
    <xf numFmtId="0" fontId="16" fillId="10" borderId="1" xfId="0" applyFont="1" applyFill="1" applyBorder="1"/>
    <xf numFmtId="0" fontId="13" fillId="10" borderId="1" xfId="0" applyFont="1" applyFill="1" applyBorder="1"/>
    <xf numFmtId="0" fontId="13" fillId="10" borderId="1" xfId="0" applyFont="1" applyFill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9" fillId="0" borderId="5" xfId="0" applyFont="1" applyBorder="1"/>
    <xf numFmtId="0" fontId="19" fillId="0" borderId="4" xfId="0" applyFont="1" applyBorder="1"/>
    <xf numFmtId="0" fontId="19" fillId="0" borderId="4" xfId="0" applyFont="1" applyBorder="1" applyAlignment="1">
      <alignment horizontal="center" vertical="top"/>
    </xf>
    <xf numFmtId="0" fontId="15" fillId="0" borderId="4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 vertical="top"/>
    </xf>
    <xf numFmtId="0" fontId="21" fillId="0" borderId="5" xfId="0" applyFont="1" applyBorder="1"/>
    <xf numFmtId="0" fontId="21" fillId="0" borderId="4" xfId="0" applyFont="1" applyBorder="1"/>
    <xf numFmtId="0" fontId="21" fillId="0" borderId="4" xfId="0" applyFont="1" applyBorder="1" applyAlignment="1">
      <alignment horizontal="center" vertical="top"/>
    </xf>
    <xf numFmtId="0" fontId="22" fillId="0" borderId="4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1" fillId="0" borderId="20" xfId="0" applyFont="1" applyBorder="1"/>
    <xf numFmtId="0" fontId="21" fillId="0" borderId="11" xfId="0" applyFont="1" applyBorder="1"/>
    <xf numFmtId="0" fontId="21" fillId="0" borderId="11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5" fillId="3" borderId="0" xfId="0" applyFont="1" applyFill="1"/>
    <xf numFmtId="0" fontId="9" fillId="3" borderId="0" xfId="0" applyFont="1" applyFill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right"/>
    </xf>
    <xf numFmtId="0" fontId="19" fillId="3" borderId="5" xfId="0" applyFont="1" applyFill="1" applyBorder="1"/>
    <xf numFmtId="0" fontId="19" fillId="3" borderId="5" xfId="0" applyFont="1" applyFill="1" applyBorder="1" applyAlignment="1">
      <alignment horizontal="right"/>
    </xf>
    <xf numFmtId="0" fontId="15" fillId="0" borderId="1" xfId="0" applyFont="1" applyBorder="1" applyAlignment="1" applyProtection="1">
      <alignment horizontal="center"/>
      <protection locked="0"/>
    </xf>
    <xf numFmtId="0" fontId="20" fillId="3" borderId="6" xfId="0" applyFont="1" applyFill="1" applyBorder="1"/>
    <xf numFmtId="0" fontId="19" fillId="3" borderId="7" xfId="0" applyFont="1" applyFill="1" applyBorder="1" applyAlignment="1">
      <alignment horizontal="right"/>
    </xf>
    <xf numFmtId="0" fontId="19" fillId="3" borderId="0" xfId="0" applyFont="1" applyFill="1"/>
    <xf numFmtId="0" fontId="19" fillId="3" borderId="0" xfId="0" applyFont="1" applyFill="1" applyAlignment="1">
      <alignment horizontal="right"/>
    </xf>
    <xf numFmtId="0" fontId="20" fillId="3" borderId="8" xfId="0" applyFont="1" applyFill="1" applyBorder="1"/>
    <xf numFmtId="0" fontId="15" fillId="4" borderId="1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right"/>
    </xf>
    <xf numFmtId="0" fontId="19" fillId="3" borderId="2" xfId="0" applyFont="1" applyFill="1" applyBorder="1"/>
    <xf numFmtId="0" fontId="19" fillId="3" borderId="2" xfId="0" applyFont="1" applyFill="1" applyBorder="1" applyAlignment="1">
      <alignment horizontal="right"/>
    </xf>
    <xf numFmtId="0" fontId="20" fillId="3" borderId="10" xfId="0" applyFont="1" applyFill="1" applyBorder="1"/>
    <xf numFmtId="0" fontId="2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5" fillId="12" borderId="0" xfId="0" applyFont="1" applyFill="1"/>
    <xf numFmtId="0" fontId="24" fillId="0" borderId="0" xfId="0" applyFont="1"/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16" fontId="4" fillId="0" borderId="1" xfId="0" quotePrefix="1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wrapText="1"/>
    </xf>
    <xf numFmtId="0" fontId="25" fillId="3" borderId="1" xfId="0" applyFont="1" applyFill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25" fillId="5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vertical="top"/>
    </xf>
    <xf numFmtId="0" fontId="15" fillId="3" borderId="1" xfId="0" applyFont="1" applyFill="1" applyBorder="1"/>
    <xf numFmtId="0" fontId="25" fillId="5" borderId="1" xfId="0" applyFont="1" applyFill="1" applyBorder="1" applyAlignment="1">
      <alignment vertical="top"/>
    </xf>
    <xf numFmtId="0" fontId="15" fillId="0" borderId="1" xfId="0" applyFont="1" applyBorder="1" applyAlignment="1">
      <alignment horizontal="center"/>
    </xf>
    <xf numFmtId="0" fontId="5" fillId="0" borderId="1" xfId="0" applyFont="1" applyBorder="1"/>
    <xf numFmtId="0" fontId="5" fillId="6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0" fontId="27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28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3" fillId="3" borderId="1" xfId="0" applyFont="1" applyFill="1" applyBorder="1" applyAlignment="1">
      <alignment horizontal="center" vertical="top" wrapText="1"/>
    </xf>
    <xf numFmtId="2" fontId="23" fillId="0" borderId="1" xfId="0" applyNumberFormat="1" applyFont="1" applyBorder="1" applyAlignment="1">
      <alignment horizontal="center" vertical="top" wrapText="1"/>
    </xf>
    <xf numFmtId="2" fontId="23" fillId="9" borderId="1" xfId="0" applyNumberFormat="1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23" fillId="9" borderId="1" xfId="0" applyFont="1" applyFill="1" applyBorder="1" applyAlignment="1">
      <alignment horizontal="center" vertical="top" wrapText="1"/>
    </xf>
    <xf numFmtId="0" fontId="11" fillId="11" borderId="1" xfId="0" applyFont="1" applyFill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5" fillId="0" borderId="17" xfId="0" applyFont="1" applyBorder="1"/>
    <xf numFmtId="0" fontId="17" fillId="2" borderId="0" xfId="0" applyFont="1" applyFill="1" applyAlignment="1" applyProtection="1">
      <alignment horizontal="center" wrapText="1"/>
      <protection locked="0"/>
    </xf>
    <xf numFmtId="0" fontId="1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3" fillId="0" borderId="22" xfId="0" applyFont="1" applyBorder="1"/>
    <xf numFmtId="0" fontId="13" fillId="0" borderId="8" xfId="0" applyFont="1" applyBorder="1"/>
    <xf numFmtId="0" fontId="13" fillId="13" borderId="1" xfId="0" applyFont="1" applyFill="1" applyBorder="1"/>
    <xf numFmtId="0" fontId="13" fillId="13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TH Sarabun New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TH Sarabun New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H Sarabun Ne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H Sarabun New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H Sarabun Ne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66A41-D5B1-D842-8A5F-B2F7A7442A76}" name="Table1" displayName="Table1" ref="A2:H82" totalsRowShown="0" headerRowDxfId="16" dataDxfId="15" tableBorderDxfId="14">
  <autoFilter ref="A2:H82" xr:uid="{BCA66A41-D5B1-D842-8A5F-B2F7A7442A76}"/>
  <tableColumns count="8">
    <tableColumn id="1" xr3:uid="{1AF835F9-E117-484F-90D2-A14B5878F738}" name="ID" dataDxfId="13"/>
    <tableColumn id="2" xr3:uid="{CFA0563F-AD85-FE4B-900B-08B71B9EB3D0}" name="ด้าน" dataDxfId="12"/>
    <tableColumn id="3" xr3:uid="{CA7FAD46-71C9-6A45-9146-AFA5951ED03D}" name="ภาระงาน" dataDxfId="11"/>
    <tableColumn id="4" xr3:uid="{2CD5C236-4EAB-9A46-81C0-5BC85372F98C}" name="หน่วยนับ" dataDxfId="10"/>
    <tableColumn id="5" xr3:uid="{2905762C-A683-C343-BC1B-A25EF644FA33}" name="ค่าภาระงาน" dataDxfId="9"/>
    <tableColumn id="6" xr3:uid="{B8FA63BF-144B-E94F-B7ED-96AA8DB8DE1D}" name="ชั่วโมงทำงาน" dataDxfId="8"/>
    <tableColumn id="7" xr3:uid="{ED4A014E-7F64-AE4B-87A8-8B36024DEB25}" name="ภาระงาน(E*F)" dataDxfId="7">
      <calculatedColumnFormula>E3*F3</calculatedColumnFormula>
    </tableColumn>
    <tableColumn id="10" xr3:uid="{FC0FDFC9-D190-A24F-8ED5-0EA21B0BDDBF}" name="ประเภทงาน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E48DCB-55B9-D447-9D7A-D9652803DC1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5C57-B1D2-164D-9E15-649464F57DFF}">
  <sheetPr>
    <tabColor theme="5"/>
  </sheetPr>
  <dimension ref="A1:K33"/>
  <sheetViews>
    <sheetView tabSelected="1" topLeftCell="A19" zoomScale="75" workbookViewId="0">
      <selection activeCell="B17" sqref="B17"/>
    </sheetView>
  </sheetViews>
  <sheetFormatPr defaultColWidth="10.875" defaultRowHeight="30.75" x14ac:dyDescent="0.7"/>
  <cols>
    <col min="1" max="1" width="43.875" style="22" customWidth="1"/>
    <col min="2" max="2" width="54.25" style="22" customWidth="1"/>
    <col min="3" max="3" width="33.25" style="22" customWidth="1"/>
    <col min="4" max="4" width="10.875" style="22"/>
    <col min="5" max="5" width="63.75" style="22" customWidth="1"/>
    <col min="6" max="8" width="13.375" style="22" bestFit="1" customWidth="1"/>
    <col min="9" max="9" width="16.25" style="22" bestFit="1" customWidth="1"/>
    <col min="10" max="11" width="16" style="22" bestFit="1" customWidth="1"/>
    <col min="12" max="16384" width="10.875" style="22"/>
  </cols>
  <sheetData>
    <row r="1" spans="1:11" x14ac:dyDescent="0.7">
      <c r="A1" s="21" t="s">
        <v>144</v>
      </c>
    </row>
    <row r="2" spans="1:11" x14ac:dyDescent="0.7">
      <c r="A2" s="21" t="s">
        <v>145</v>
      </c>
      <c r="D2" s="116" t="s">
        <v>142</v>
      </c>
      <c r="E2" s="23" t="s">
        <v>217</v>
      </c>
    </row>
    <row r="3" spans="1:11" ht="30" customHeight="1" x14ac:dyDescent="0.7">
      <c r="A3" s="24" t="s">
        <v>146</v>
      </c>
      <c r="B3" s="24" t="s">
        <v>147</v>
      </c>
      <c r="C3" s="24" t="s">
        <v>148</v>
      </c>
      <c r="D3" s="116"/>
      <c r="E3" s="25" t="s">
        <v>216</v>
      </c>
      <c r="F3" s="26"/>
      <c r="G3" s="26"/>
      <c r="H3" s="26"/>
      <c r="I3" s="26"/>
      <c r="J3" s="26"/>
      <c r="K3" s="26"/>
    </row>
    <row r="4" spans="1:11" x14ac:dyDescent="0.7">
      <c r="A4" s="27" t="s">
        <v>149</v>
      </c>
      <c r="B4" s="28"/>
      <c r="C4" s="28"/>
      <c r="D4" s="29">
        <v>50</v>
      </c>
      <c r="E4" s="28"/>
      <c r="F4" s="26"/>
      <c r="G4" s="26"/>
      <c r="H4" s="26"/>
      <c r="I4" s="26"/>
      <c r="J4" s="26"/>
      <c r="K4" s="26"/>
    </row>
    <row r="5" spans="1:11" x14ac:dyDescent="0.7">
      <c r="A5" s="30" t="s">
        <v>259</v>
      </c>
      <c r="B5" s="30" t="s">
        <v>258</v>
      </c>
      <c r="C5" s="30" t="s">
        <v>288</v>
      </c>
      <c r="D5" s="31"/>
      <c r="E5" s="30"/>
      <c r="F5" s="26"/>
      <c r="G5" s="26"/>
      <c r="H5" s="26"/>
      <c r="I5" s="26"/>
      <c r="J5" s="26"/>
      <c r="K5" s="26"/>
    </row>
    <row r="6" spans="1:11" x14ac:dyDescent="0.7">
      <c r="B6" s="30" t="s">
        <v>260</v>
      </c>
      <c r="C6" s="30" t="s">
        <v>288</v>
      </c>
      <c r="D6" s="31"/>
      <c r="E6" s="30"/>
      <c r="F6" s="26"/>
      <c r="G6" s="26"/>
      <c r="H6" s="26"/>
      <c r="I6" s="26"/>
      <c r="J6" s="26"/>
      <c r="K6" s="26"/>
    </row>
    <row r="7" spans="1:11" x14ac:dyDescent="0.7">
      <c r="B7" s="30" t="s">
        <v>261</v>
      </c>
      <c r="C7" s="30" t="s">
        <v>288</v>
      </c>
      <c r="D7" s="31"/>
      <c r="E7" s="30"/>
      <c r="F7" s="26"/>
      <c r="G7" s="26"/>
      <c r="H7" s="26"/>
      <c r="I7" s="26"/>
      <c r="J7" s="26"/>
      <c r="K7" s="26"/>
    </row>
    <row r="8" spans="1:11" x14ac:dyDescent="0.7">
      <c r="A8" s="128"/>
      <c r="B8" s="30" t="s">
        <v>262</v>
      </c>
      <c r="C8" s="30" t="s">
        <v>288</v>
      </c>
      <c r="D8" s="31"/>
      <c r="E8" s="30"/>
      <c r="F8" s="26"/>
      <c r="G8" s="26"/>
      <c r="H8" s="26"/>
      <c r="I8" s="26"/>
      <c r="J8" s="26"/>
      <c r="K8" s="26"/>
    </row>
    <row r="9" spans="1:11" x14ac:dyDescent="0.7">
      <c r="A9" s="128"/>
      <c r="B9" s="30" t="s">
        <v>270</v>
      </c>
      <c r="C9" s="30" t="s">
        <v>288</v>
      </c>
      <c r="D9" s="31"/>
      <c r="E9" s="30"/>
      <c r="F9" s="26"/>
      <c r="G9" s="26"/>
      <c r="H9" s="26"/>
      <c r="I9" s="26"/>
      <c r="J9" s="26"/>
      <c r="K9" s="26"/>
    </row>
    <row r="10" spans="1:11" x14ac:dyDescent="0.7">
      <c r="A10" s="128"/>
      <c r="B10" s="22" t="s">
        <v>269</v>
      </c>
      <c r="C10" s="30" t="s">
        <v>288</v>
      </c>
      <c r="D10" s="31"/>
      <c r="E10" s="30"/>
      <c r="F10" s="26"/>
      <c r="G10" s="26"/>
      <c r="H10" s="26"/>
      <c r="I10" s="26"/>
      <c r="J10" s="26"/>
      <c r="K10" s="26"/>
    </row>
    <row r="11" spans="1:11" x14ac:dyDescent="0.7">
      <c r="A11" s="127"/>
      <c r="B11" s="22" t="s">
        <v>289</v>
      </c>
      <c r="C11" s="30" t="s">
        <v>288</v>
      </c>
      <c r="D11" s="31"/>
      <c r="E11" s="30"/>
      <c r="F11" s="26"/>
      <c r="G11" s="26"/>
      <c r="H11" s="26"/>
      <c r="I11" s="26"/>
      <c r="J11" s="26"/>
      <c r="K11" s="26"/>
    </row>
    <row r="12" spans="1:11" x14ac:dyDescent="0.7">
      <c r="A12" s="30" t="s">
        <v>271</v>
      </c>
      <c r="B12" s="30" t="s">
        <v>281</v>
      </c>
      <c r="C12" s="30" t="s">
        <v>290</v>
      </c>
      <c r="D12" s="130"/>
      <c r="E12" s="129"/>
      <c r="F12" s="26"/>
      <c r="G12" s="26"/>
      <c r="H12" s="26"/>
      <c r="I12" s="26"/>
      <c r="J12" s="26"/>
      <c r="K12" s="26"/>
    </row>
    <row r="13" spans="1:11" x14ac:dyDescent="0.7">
      <c r="A13" s="30"/>
      <c r="B13" s="30" t="s">
        <v>280</v>
      </c>
      <c r="C13" s="30" t="s">
        <v>290</v>
      </c>
      <c r="D13" s="32"/>
      <c r="E13" s="30"/>
      <c r="F13" s="26"/>
      <c r="G13" s="26"/>
      <c r="H13" s="26"/>
      <c r="I13" s="26"/>
      <c r="J13" s="26"/>
      <c r="K13" s="26"/>
    </row>
    <row r="14" spans="1:11" x14ac:dyDescent="0.7">
      <c r="A14" s="30"/>
      <c r="B14" s="30" t="s">
        <v>282</v>
      </c>
      <c r="C14" s="30" t="s">
        <v>291</v>
      </c>
      <c r="D14" s="31"/>
      <c r="E14" s="30"/>
      <c r="F14" s="26"/>
      <c r="G14" s="26"/>
      <c r="H14" s="26"/>
      <c r="I14" s="26"/>
      <c r="J14" s="26"/>
      <c r="K14" s="26"/>
    </row>
    <row r="15" spans="1:11" x14ac:dyDescent="0.7">
      <c r="A15" s="27" t="s">
        <v>150</v>
      </c>
      <c r="B15" s="28"/>
      <c r="C15" s="28"/>
      <c r="D15" s="29">
        <v>30</v>
      </c>
      <c r="E15" s="28"/>
      <c r="F15" s="26"/>
      <c r="G15" s="26"/>
      <c r="H15" s="26"/>
      <c r="I15" s="26"/>
      <c r="J15" s="26"/>
      <c r="K15" s="26"/>
    </row>
    <row r="16" spans="1:11" x14ac:dyDescent="0.7">
      <c r="A16" s="30" t="s">
        <v>292</v>
      </c>
      <c r="B16" s="30" t="s">
        <v>293</v>
      </c>
      <c r="C16" s="30"/>
      <c r="D16" s="32"/>
      <c r="E16" s="30"/>
      <c r="F16" s="26"/>
      <c r="G16" s="26"/>
      <c r="H16" s="26"/>
      <c r="I16" s="26"/>
      <c r="J16" s="26"/>
      <c r="K16" s="26"/>
    </row>
    <row r="17" spans="1:11" x14ac:dyDescent="0.7">
      <c r="B17" s="30"/>
      <c r="C17" s="30"/>
      <c r="D17" s="31"/>
      <c r="E17" s="30"/>
      <c r="F17" s="26"/>
      <c r="G17" s="26"/>
      <c r="H17" s="26"/>
      <c r="I17" s="26"/>
      <c r="J17" s="26"/>
      <c r="K17" s="26"/>
    </row>
    <row r="18" spans="1:11" x14ac:dyDescent="0.7">
      <c r="A18" s="27" t="s">
        <v>215</v>
      </c>
      <c r="B18" s="28"/>
      <c r="C18" s="28"/>
      <c r="D18" s="29">
        <v>20</v>
      </c>
      <c r="E18" s="28"/>
      <c r="F18" s="26"/>
      <c r="G18" s="26"/>
      <c r="H18" s="26"/>
      <c r="I18" s="26"/>
      <c r="J18" s="26"/>
      <c r="K18" s="26"/>
    </row>
    <row r="19" spans="1:11" x14ac:dyDescent="0.7">
      <c r="A19" s="30" t="s">
        <v>268</v>
      </c>
      <c r="B19" s="30"/>
      <c r="C19" s="30"/>
      <c r="D19" s="30"/>
      <c r="E19" s="30"/>
      <c r="F19" s="26"/>
      <c r="G19" s="26"/>
      <c r="H19" s="26"/>
      <c r="I19" s="26"/>
      <c r="J19" s="26"/>
      <c r="K19" s="26"/>
    </row>
    <row r="20" spans="1:11" x14ac:dyDescent="0.7">
      <c r="A20" s="22" t="s">
        <v>267</v>
      </c>
      <c r="B20" s="30"/>
      <c r="C20" s="30"/>
      <c r="D20" s="30"/>
      <c r="E20" s="30"/>
      <c r="F20" s="26"/>
      <c r="G20" s="26"/>
      <c r="H20" s="26"/>
      <c r="I20" s="26"/>
      <c r="J20" s="26"/>
      <c r="K20" s="26"/>
    </row>
    <row r="21" spans="1:11" x14ac:dyDescent="0.7">
      <c r="A21" s="30" t="s">
        <v>273</v>
      </c>
      <c r="B21" s="30"/>
      <c r="C21" s="30"/>
      <c r="D21" s="30"/>
      <c r="E21" s="30"/>
      <c r="F21" s="26"/>
      <c r="G21" s="26"/>
      <c r="H21" s="26"/>
      <c r="I21" s="26"/>
      <c r="J21" s="26"/>
      <c r="K21" s="26"/>
    </row>
    <row r="22" spans="1:11" x14ac:dyDescent="0.7">
      <c r="A22" s="30" t="s">
        <v>272</v>
      </c>
      <c r="B22" s="30"/>
      <c r="C22" s="30"/>
      <c r="D22" s="30"/>
      <c r="E22" s="30"/>
      <c r="F22" s="26"/>
      <c r="G22" s="26"/>
      <c r="H22" s="26"/>
      <c r="I22" s="26"/>
      <c r="J22" s="26"/>
      <c r="K22" s="26"/>
    </row>
    <row r="23" spans="1:11" x14ac:dyDescent="0.7">
      <c r="A23" s="30" t="s">
        <v>274</v>
      </c>
      <c r="B23" s="30"/>
      <c r="C23" s="30"/>
      <c r="D23" s="30"/>
      <c r="E23" s="30"/>
      <c r="F23" s="26"/>
      <c r="G23" s="26"/>
      <c r="H23" s="26"/>
      <c r="I23" s="26"/>
      <c r="J23" s="26"/>
      <c r="K23" s="26"/>
    </row>
    <row r="24" spans="1:11" x14ac:dyDescent="0.7">
      <c r="D24" s="131">
        <f>SUM(D4:D23)</f>
        <v>100</v>
      </c>
      <c r="F24" s="26"/>
      <c r="G24" s="26"/>
      <c r="H24" s="26"/>
      <c r="I24" s="26"/>
      <c r="J24" s="26"/>
      <c r="K24" s="26"/>
    </row>
    <row r="26" spans="1:11" x14ac:dyDescent="0.7">
      <c r="A26" s="26"/>
      <c r="B26" s="26"/>
      <c r="C26" s="26"/>
    </row>
    <row r="27" spans="1:11" x14ac:dyDescent="0.7">
      <c r="A27" s="26"/>
      <c r="B27" s="26"/>
      <c r="C27" s="26"/>
      <c r="D27" s="26"/>
    </row>
    <row r="28" spans="1:11" x14ac:dyDescent="0.7">
      <c r="A28" s="26"/>
      <c r="B28" s="26"/>
      <c r="C28" s="26"/>
      <c r="D28" s="26"/>
    </row>
    <row r="29" spans="1:11" x14ac:dyDescent="0.7">
      <c r="A29" s="26"/>
      <c r="B29" s="26"/>
      <c r="C29" s="26"/>
      <c r="D29" s="26"/>
    </row>
    <row r="30" spans="1:11" x14ac:dyDescent="0.7">
      <c r="A30" s="26"/>
      <c r="B30" s="26"/>
      <c r="C30" s="26"/>
      <c r="D30" s="26"/>
    </row>
    <row r="31" spans="1:11" x14ac:dyDescent="0.7">
      <c r="A31" s="26"/>
      <c r="B31" s="26"/>
      <c r="C31" s="26"/>
      <c r="D31" s="26"/>
    </row>
    <row r="32" spans="1:11" x14ac:dyDescent="0.7">
      <c r="A32" s="26"/>
      <c r="B32" s="26"/>
      <c r="C32" s="26"/>
      <c r="D32" s="26"/>
    </row>
    <row r="33" spans="4:4" x14ac:dyDescent="0.7">
      <c r="D33" s="26"/>
    </row>
  </sheetData>
  <mergeCells count="1">
    <mergeCell ref="D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H97"/>
  <sheetViews>
    <sheetView showGridLines="0" topLeftCell="A61" zoomScale="118" zoomScaleNormal="160" workbookViewId="0">
      <selection activeCell="E42" sqref="E42"/>
    </sheetView>
  </sheetViews>
  <sheetFormatPr defaultColWidth="10.875" defaultRowHeight="18.75" x14ac:dyDescent="0.45"/>
  <cols>
    <col min="1" max="1" width="5.75" style="26" customWidth="1"/>
    <col min="2" max="2" width="10.75" style="26" customWidth="1"/>
    <col min="3" max="3" width="61.25" style="26" customWidth="1"/>
    <col min="4" max="4" width="11.875" style="26" bestFit="1" customWidth="1"/>
    <col min="5" max="5" width="12.375" style="26" customWidth="1"/>
    <col min="6" max="6" width="14" style="26" customWidth="1"/>
    <col min="7" max="7" width="14.25" style="26" customWidth="1"/>
    <col min="8" max="8" width="17.125" style="26" customWidth="1"/>
    <col min="9" max="16384" width="10.875" style="26"/>
  </cols>
  <sheetData>
    <row r="1" spans="1:8" s="22" customFormat="1" ht="57" customHeight="1" x14ac:dyDescent="0.75">
      <c r="A1" s="115" t="s">
        <v>257</v>
      </c>
      <c r="B1" s="115"/>
      <c r="C1" s="115"/>
      <c r="D1" s="115"/>
      <c r="E1" s="115"/>
      <c r="F1" s="115"/>
      <c r="G1" s="115"/>
    </row>
    <row r="2" spans="1:8" s="37" customFormat="1" ht="23.1" customHeight="1" x14ac:dyDescent="0.45">
      <c r="A2" s="33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5" t="s">
        <v>74</v>
      </c>
      <c r="H2" s="36" t="s">
        <v>229</v>
      </c>
    </row>
    <row r="3" spans="1:8" x14ac:dyDescent="0.45">
      <c r="A3" s="38">
        <v>1</v>
      </c>
      <c r="B3" s="39" t="s">
        <v>6</v>
      </c>
      <c r="C3" s="39" t="s">
        <v>256</v>
      </c>
      <c r="D3" s="40" t="s">
        <v>7</v>
      </c>
      <c r="E3" s="40">
        <v>1.5</v>
      </c>
      <c r="F3" s="41"/>
      <c r="G3" s="42">
        <f t="shared" ref="G3:G34" si="0">E3*F3</f>
        <v>0</v>
      </c>
    </row>
    <row r="4" spans="1:8" x14ac:dyDescent="0.45">
      <c r="A4" s="38">
        <v>2</v>
      </c>
      <c r="B4" s="39" t="s">
        <v>79</v>
      </c>
      <c r="C4" s="39" t="s">
        <v>8</v>
      </c>
      <c r="D4" s="40" t="s">
        <v>7</v>
      </c>
      <c r="E4" s="40">
        <v>3</v>
      </c>
      <c r="F4" s="41">
        <v>250</v>
      </c>
      <c r="G4" s="42">
        <f t="shared" si="0"/>
        <v>750</v>
      </c>
      <c r="H4" s="26" t="s">
        <v>230</v>
      </c>
    </row>
    <row r="5" spans="1:8" x14ac:dyDescent="0.45">
      <c r="A5" s="38">
        <v>3</v>
      </c>
      <c r="B5" s="39" t="s">
        <v>79</v>
      </c>
      <c r="C5" s="39" t="s">
        <v>80</v>
      </c>
      <c r="D5" s="40" t="s">
        <v>7</v>
      </c>
      <c r="E5" s="40">
        <v>1.5</v>
      </c>
      <c r="F5" s="41">
        <v>70</v>
      </c>
      <c r="G5" s="42">
        <f t="shared" si="0"/>
        <v>105</v>
      </c>
      <c r="H5" s="26" t="s">
        <v>230</v>
      </c>
    </row>
    <row r="6" spans="1:8" x14ac:dyDescent="0.45">
      <c r="A6" s="38">
        <v>4</v>
      </c>
      <c r="B6" s="39" t="s">
        <v>79</v>
      </c>
      <c r="C6" s="39" t="s">
        <v>81</v>
      </c>
      <c r="D6" s="40" t="s">
        <v>7</v>
      </c>
      <c r="E6" s="40">
        <v>1</v>
      </c>
      <c r="F6" s="41">
        <v>100</v>
      </c>
      <c r="G6" s="42">
        <f t="shared" si="0"/>
        <v>100</v>
      </c>
      <c r="H6" s="26" t="s">
        <v>230</v>
      </c>
    </row>
    <row r="7" spans="1:8" x14ac:dyDescent="0.45">
      <c r="A7" s="38">
        <v>5</v>
      </c>
      <c r="B7" s="39" t="s">
        <v>79</v>
      </c>
      <c r="C7" s="39" t="s">
        <v>9</v>
      </c>
      <c r="D7" s="40" t="s">
        <v>7</v>
      </c>
      <c r="E7" s="40">
        <v>1</v>
      </c>
      <c r="F7" s="41">
        <v>100</v>
      </c>
      <c r="G7" s="42">
        <f t="shared" si="0"/>
        <v>100</v>
      </c>
      <c r="H7" s="26" t="s">
        <v>230</v>
      </c>
    </row>
    <row r="8" spans="1:8" x14ac:dyDescent="0.45">
      <c r="A8" s="38">
        <v>6</v>
      </c>
      <c r="B8" s="39" t="s">
        <v>79</v>
      </c>
      <c r="C8" s="39" t="s">
        <v>16</v>
      </c>
      <c r="D8" s="40" t="s">
        <v>7</v>
      </c>
      <c r="E8" s="40">
        <v>3</v>
      </c>
      <c r="F8" s="41">
        <v>100</v>
      </c>
      <c r="G8" s="42">
        <f t="shared" si="0"/>
        <v>300</v>
      </c>
      <c r="H8" s="26" t="s">
        <v>230</v>
      </c>
    </row>
    <row r="9" spans="1:8" x14ac:dyDescent="0.45">
      <c r="A9" s="38">
        <v>7</v>
      </c>
      <c r="B9" s="39" t="s">
        <v>79</v>
      </c>
      <c r="C9" s="39" t="s">
        <v>82</v>
      </c>
      <c r="D9" s="40" t="s">
        <v>7</v>
      </c>
      <c r="E9" s="40">
        <v>1.5</v>
      </c>
      <c r="F9" s="41">
        <v>30</v>
      </c>
      <c r="G9" s="42">
        <f t="shared" si="0"/>
        <v>45</v>
      </c>
      <c r="H9" s="26" t="s">
        <v>230</v>
      </c>
    </row>
    <row r="10" spans="1:8" x14ac:dyDescent="0.45">
      <c r="A10" s="38">
        <v>8</v>
      </c>
      <c r="B10" s="39" t="s">
        <v>79</v>
      </c>
      <c r="C10" s="39" t="s">
        <v>14</v>
      </c>
      <c r="D10" s="40" t="s">
        <v>7</v>
      </c>
      <c r="E10" s="40">
        <v>1</v>
      </c>
      <c r="F10" s="41"/>
      <c r="G10" s="42">
        <f t="shared" si="0"/>
        <v>0</v>
      </c>
    </row>
    <row r="11" spans="1:8" x14ac:dyDescent="0.45">
      <c r="A11" s="38">
        <v>9</v>
      </c>
      <c r="B11" s="39" t="s">
        <v>79</v>
      </c>
      <c r="C11" s="39" t="s">
        <v>15</v>
      </c>
      <c r="D11" s="40" t="s">
        <v>7</v>
      </c>
      <c r="E11" s="40">
        <v>1</v>
      </c>
      <c r="F11" s="41"/>
      <c r="G11" s="42">
        <f t="shared" si="0"/>
        <v>0</v>
      </c>
    </row>
    <row r="12" spans="1:8" x14ac:dyDescent="0.45">
      <c r="A12" s="38">
        <v>10</v>
      </c>
      <c r="B12" s="39" t="s">
        <v>79</v>
      </c>
      <c r="C12" s="39" t="s">
        <v>83</v>
      </c>
      <c r="D12" s="40" t="s">
        <v>7</v>
      </c>
      <c r="E12" s="40">
        <v>1.5</v>
      </c>
      <c r="F12" s="41"/>
      <c r="G12" s="42">
        <f t="shared" si="0"/>
        <v>0</v>
      </c>
    </row>
    <row r="13" spans="1:8" x14ac:dyDescent="0.45">
      <c r="A13" s="38">
        <v>11</v>
      </c>
      <c r="B13" s="39" t="s">
        <v>79</v>
      </c>
      <c r="C13" s="39" t="s">
        <v>17</v>
      </c>
      <c r="D13" s="40" t="s">
        <v>7</v>
      </c>
      <c r="E13" s="40">
        <v>1.5</v>
      </c>
      <c r="F13" s="41"/>
      <c r="G13" s="42">
        <f t="shared" si="0"/>
        <v>0</v>
      </c>
    </row>
    <row r="14" spans="1:8" x14ac:dyDescent="0.45">
      <c r="A14" s="38">
        <v>12</v>
      </c>
      <c r="B14" s="39" t="s">
        <v>79</v>
      </c>
      <c r="C14" s="39" t="s">
        <v>18</v>
      </c>
      <c r="D14" s="40" t="s">
        <v>7</v>
      </c>
      <c r="E14" s="40">
        <v>1</v>
      </c>
      <c r="F14" s="41"/>
      <c r="G14" s="42">
        <f t="shared" si="0"/>
        <v>0</v>
      </c>
    </row>
    <row r="15" spans="1:8" x14ac:dyDescent="0.45">
      <c r="A15" s="38">
        <v>13</v>
      </c>
      <c r="B15" s="39" t="s">
        <v>79</v>
      </c>
      <c r="C15" s="39" t="s">
        <v>19</v>
      </c>
      <c r="D15" s="40" t="s">
        <v>7</v>
      </c>
      <c r="E15" s="40">
        <v>1</v>
      </c>
      <c r="F15" s="41"/>
      <c r="G15" s="42">
        <f t="shared" si="0"/>
        <v>0</v>
      </c>
    </row>
    <row r="16" spans="1:8" x14ac:dyDescent="0.45">
      <c r="A16" s="38">
        <v>14</v>
      </c>
      <c r="B16" s="39" t="s">
        <v>84</v>
      </c>
      <c r="C16" s="39" t="s">
        <v>46</v>
      </c>
      <c r="D16" s="40" t="s">
        <v>7</v>
      </c>
      <c r="E16" s="40">
        <v>1</v>
      </c>
      <c r="F16" s="41"/>
      <c r="G16" s="42">
        <f t="shared" si="0"/>
        <v>0</v>
      </c>
    </row>
    <row r="17" spans="1:7" x14ac:dyDescent="0.45">
      <c r="A17" s="38">
        <v>15</v>
      </c>
      <c r="B17" s="39" t="s">
        <v>84</v>
      </c>
      <c r="C17" s="39" t="s">
        <v>47</v>
      </c>
      <c r="D17" s="40" t="s">
        <v>7</v>
      </c>
      <c r="E17" s="40">
        <v>1</v>
      </c>
      <c r="F17" s="41"/>
      <c r="G17" s="42">
        <f t="shared" si="0"/>
        <v>0</v>
      </c>
    </row>
    <row r="18" spans="1:7" x14ac:dyDescent="0.45">
      <c r="A18" s="38">
        <v>16</v>
      </c>
      <c r="B18" s="39" t="s">
        <v>84</v>
      </c>
      <c r="C18" s="39" t="s">
        <v>48</v>
      </c>
      <c r="D18" s="40" t="s">
        <v>7</v>
      </c>
      <c r="E18" s="40">
        <v>1</v>
      </c>
      <c r="F18" s="41"/>
      <c r="G18" s="42">
        <f t="shared" si="0"/>
        <v>0</v>
      </c>
    </row>
    <row r="19" spans="1:7" x14ac:dyDescent="0.45">
      <c r="A19" s="38">
        <v>17</v>
      </c>
      <c r="B19" s="39" t="s">
        <v>84</v>
      </c>
      <c r="C19" s="39" t="s">
        <v>85</v>
      </c>
      <c r="D19" s="40" t="s">
        <v>7</v>
      </c>
      <c r="E19" s="40">
        <v>3</v>
      </c>
      <c r="F19" s="41"/>
      <c r="G19" s="42">
        <f t="shared" si="0"/>
        <v>0</v>
      </c>
    </row>
    <row r="20" spans="1:7" x14ac:dyDescent="0.45">
      <c r="A20" s="38">
        <v>18</v>
      </c>
      <c r="B20" s="39" t="s">
        <v>84</v>
      </c>
      <c r="C20" s="39" t="s">
        <v>86</v>
      </c>
      <c r="D20" s="40" t="s">
        <v>7</v>
      </c>
      <c r="E20" s="40">
        <v>1</v>
      </c>
      <c r="F20" s="41"/>
      <c r="G20" s="42">
        <f t="shared" si="0"/>
        <v>0</v>
      </c>
    </row>
    <row r="21" spans="1:7" x14ac:dyDescent="0.45">
      <c r="A21" s="38">
        <v>19</v>
      </c>
      <c r="B21" s="39" t="s">
        <v>84</v>
      </c>
      <c r="C21" s="39" t="s">
        <v>87</v>
      </c>
      <c r="D21" s="40" t="s">
        <v>7</v>
      </c>
      <c r="E21" s="40">
        <v>1.5</v>
      </c>
      <c r="F21" s="41"/>
      <c r="G21" s="42">
        <f t="shared" si="0"/>
        <v>0</v>
      </c>
    </row>
    <row r="22" spans="1:7" x14ac:dyDescent="0.45">
      <c r="A22" s="38">
        <v>20</v>
      </c>
      <c r="B22" s="39" t="s">
        <v>84</v>
      </c>
      <c r="C22" s="39" t="s">
        <v>50</v>
      </c>
      <c r="D22" s="40" t="s">
        <v>7</v>
      </c>
      <c r="E22" s="40">
        <v>3</v>
      </c>
      <c r="F22" s="41"/>
      <c r="G22" s="42">
        <f t="shared" si="0"/>
        <v>0</v>
      </c>
    </row>
    <row r="23" spans="1:7" x14ac:dyDescent="0.45">
      <c r="A23" s="38">
        <v>21</v>
      </c>
      <c r="B23" s="39" t="s">
        <v>84</v>
      </c>
      <c r="C23" s="39" t="s">
        <v>49</v>
      </c>
      <c r="D23" s="40" t="s">
        <v>7</v>
      </c>
      <c r="E23" s="40">
        <v>1</v>
      </c>
      <c r="F23" s="41"/>
      <c r="G23" s="42">
        <f t="shared" si="0"/>
        <v>0</v>
      </c>
    </row>
    <row r="24" spans="1:7" x14ac:dyDescent="0.45">
      <c r="A24" s="38">
        <v>22</v>
      </c>
      <c r="B24" s="39" t="s">
        <v>84</v>
      </c>
      <c r="C24" s="39" t="s">
        <v>88</v>
      </c>
      <c r="D24" s="40" t="s">
        <v>7</v>
      </c>
      <c r="E24" s="40">
        <v>1</v>
      </c>
      <c r="F24" s="41"/>
      <c r="G24" s="42">
        <f t="shared" si="0"/>
        <v>0</v>
      </c>
    </row>
    <row r="25" spans="1:7" x14ac:dyDescent="0.45">
      <c r="A25" s="38">
        <v>23</v>
      </c>
      <c r="B25" s="39" t="s">
        <v>84</v>
      </c>
      <c r="C25" s="39" t="s">
        <v>11</v>
      </c>
      <c r="D25" s="40" t="s">
        <v>7</v>
      </c>
      <c r="E25" s="40">
        <v>2</v>
      </c>
      <c r="F25" s="41"/>
      <c r="G25" s="42">
        <f t="shared" si="0"/>
        <v>0</v>
      </c>
    </row>
    <row r="26" spans="1:7" x14ac:dyDescent="0.45">
      <c r="A26" s="38">
        <v>24</v>
      </c>
      <c r="B26" s="39" t="s">
        <v>84</v>
      </c>
      <c r="C26" s="39" t="s">
        <v>12</v>
      </c>
      <c r="D26" s="40" t="s">
        <v>7</v>
      </c>
      <c r="E26" s="40">
        <v>1.5</v>
      </c>
      <c r="F26" s="41"/>
      <c r="G26" s="42">
        <f t="shared" si="0"/>
        <v>0</v>
      </c>
    </row>
    <row r="27" spans="1:7" x14ac:dyDescent="0.45">
      <c r="A27" s="38">
        <v>25</v>
      </c>
      <c r="B27" s="39" t="s">
        <v>84</v>
      </c>
      <c r="C27" s="39" t="s">
        <v>13</v>
      </c>
      <c r="D27" s="40" t="s">
        <v>7</v>
      </c>
      <c r="E27" s="40">
        <v>3</v>
      </c>
      <c r="F27" s="41"/>
      <c r="G27" s="42">
        <f t="shared" si="0"/>
        <v>0</v>
      </c>
    </row>
    <row r="28" spans="1:7" x14ac:dyDescent="0.45">
      <c r="A28" s="38">
        <v>26</v>
      </c>
      <c r="B28" s="39" t="s">
        <v>84</v>
      </c>
      <c r="C28" s="39" t="s">
        <v>10</v>
      </c>
      <c r="D28" s="40" t="s">
        <v>7</v>
      </c>
      <c r="E28" s="40">
        <v>2</v>
      </c>
      <c r="F28" s="41"/>
      <c r="G28" s="42">
        <f t="shared" si="0"/>
        <v>0</v>
      </c>
    </row>
    <row r="29" spans="1:7" x14ac:dyDescent="0.45">
      <c r="A29" s="38">
        <v>27</v>
      </c>
      <c r="B29" s="39" t="s">
        <v>84</v>
      </c>
      <c r="C29" s="39" t="s">
        <v>89</v>
      </c>
      <c r="D29" s="40" t="s">
        <v>7</v>
      </c>
      <c r="E29" s="40">
        <v>1.5</v>
      </c>
      <c r="F29" s="41"/>
      <c r="G29" s="42">
        <f t="shared" si="0"/>
        <v>0</v>
      </c>
    </row>
    <row r="30" spans="1:7" x14ac:dyDescent="0.45">
      <c r="A30" s="38">
        <v>28</v>
      </c>
      <c r="B30" s="39" t="s">
        <v>84</v>
      </c>
      <c r="C30" s="39" t="s">
        <v>90</v>
      </c>
      <c r="D30" s="40" t="s">
        <v>7</v>
      </c>
      <c r="E30" s="40">
        <v>1</v>
      </c>
      <c r="F30" s="41"/>
      <c r="G30" s="42">
        <f t="shared" si="0"/>
        <v>0</v>
      </c>
    </row>
    <row r="31" spans="1:7" x14ac:dyDescent="0.45">
      <c r="A31" s="38">
        <v>29</v>
      </c>
      <c r="B31" s="39" t="s">
        <v>84</v>
      </c>
      <c r="C31" s="39" t="s">
        <v>91</v>
      </c>
      <c r="D31" s="40" t="s">
        <v>7</v>
      </c>
      <c r="E31" s="40">
        <v>1</v>
      </c>
      <c r="F31" s="41"/>
      <c r="G31" s="42">
        <f t="shared" si="0"/>
        <v>0</v>
      </c>
    </row>
    <row r="32" spans="1:7" x14ac:dyDescent="0.45">
      <c r="A32" s="38">
        <v>30</v>
      </c>
      <c r="B32" s="39" t="s">
        <v>92</v>
      </c>
      <c r="C32" s="39" t="s">
        <v>28</v>
      </c>
      <c r="D32" s="40" t="s">
        <v>7</v>
      </c>
      <c r="E32" s="40">
        <v>1</v>
      </c>
      <c r="F32" s="41"/>
      <c r="G32" s="42">
        <f t="shared" si="0"/>
        <v>0</v>
      </c>
    </row>
    <row r="33" spans="1:7" x14ac:dyDescent="0.45">
      <c r="A33" s="38">
        <v>31</v>
      </c>
      <c r="B33" s="39" t="s">
        <v>92</v>
      </c>
      <c r="C33" s="39" t="s">
        <v>29</v>
      </c>
      <c r="D33" s="40" t="s">
        <v>23</v>
      </c>
      <c r="E33" s="40">
        <v>1</v>
      </c>
      <c r="F33" s="41"/>
      <c r="G33" s="42">
        <f t="shared" si="0"/>
        <v>0</v>
      </c>
    </row>
    <row r="34" spans="1:7" x14ac:dyDescent="0.45">
      <c r="A34" s="38">
        <v>32</v>
      </c>
      <c r="B34" s="39" t="s">
        <v>92</v>
      </c>
      <c r="C34" s="39" t="s">
        <v>30</v>
      </c>
      <c r="D34" s="40" t="s">
        <v>7</v>
      </c>
      <c r="E34" s="40">
        <v>1</v>
      </c>
      <c r="F34" s="41"/>
      <c r="G34" s="42">
        <f t="shared" si="0"/>
        <v>0</v>
      </c>
    </row>
    <row r="35" spans="1:7" x14ac:dyDescent="0.45">
      <c r="A35" s="38">
        <v>33</v>
      </c>
      <c r="B35" s="39" t="s">
        <v>92</v>
      </c>
      <c r="C35" s="39" t="s">
        <v>31</v>
      </c>
      <c r="D35" s="40" t="s">
        <v>23</v>
      </c>
      <c r="E35" s="40">
        <v>1</v>
      </c>
      <c r="F35" s="41"/>
      <c r="G35" s="42">
        <f t="shared" ref="G35:G66" si="1">E35*F35</f>
        <v>0</v>
      </c>
    </row>
    <row r="36" spans="1:7" x14ac:dyDescent="0.45">
      <c r="A36" s="38">
        <v>34</v>
      </c>
      <c r="B36" s="39" t="s">
        <v>92</v>
      </c>
      <c r="C36" s="39" t="s">
        <v>27</v>
      </c>
      <c r="D36" s="40" t="s">
        <v>7</v>
      </c>
      <c r="E36" s="40">
        <v>1</v>
      </c>
      <c r="F36" s="41"/>
      <c r="G36" s="42">
        <f t="shared" si="1"/>
        <v>0</v>
      </c>
    </row>
    <row r="37" spans="1:7" x14ac:dyDescent="0.45">
      <c r="A37" s="38">
        <v>35</v>
      </c>
      <c r="B37" s="39" t="s">
        <v>92</v>
      </c>
      <c r="C37" s="39" t="s">
        <v>26</v>
      </c>
      <c r="D37" s="40" t="s">
        <v>7</v>
      </c>
      <c r="E37" s="40">
        <v>1</v>
      </c>
      <c r="F37" s="41"/>
      <c r="G37" s="42">
        <f t="shared" si="1"/>
        <v>0</v>
      </c>
    </row>
    <row r="38" spans="1:7" x14ac:dyDescent="0.45">
      <c r="A38" s="38">
        <v>36</v>
      </c>
      <c r="B38" s="39" t="s">
        <v>92</v>
      </c>
      <c r="C38" s="39" t="s">
        <v>25</v>
      </c>
      <c r="D38" s="40" t="s">
        <v>7</v>
      </c>
      <c r="E38" s="40">
        <v>1</v>
      </c>
      <c r="F38" s="41"/>
      <c r="G38" s="42">
        <f t="shared" si="1"/>
        <v>0</v>
      </c>
    </row>
    <row r="39" spans="1:7" x14ac:dyDescent="0.45">
      <c r="A39" s="38">
        <v>37</v>
      </c>
      <c r="B39" s="39" t="s">
        <v>92</v>
      </c>
      <c r="C39" s="39" t="s">
        <v>93</v>
      </c>
      <c r="D39" s="40" t="s">
        <v>7</v>
      </c>
      <c r="E39" s="40">
        <v>1</v>
      </c>
      <c r="F39" s="41"/>
      <c r="G39" s="42">
        <f t="shared" si="1"/>
        <v>0</v>
      </c>
    </row>
    <row r="40" spans="1:7" x14ac:dyDescent="0.45">
      <c r="A40" s="38">
        <v>38</v>
      </c>
      <c r="B40" s="39" t="s">
        <v>92</v>
      </c>
      <c r="C40" s="39" t="s">
        <v>32</v>
      </c>
      <c r="D40" s="40" t="s">
        <v>7</v>
      </c>
      <c r="E40" s="40">
        <v>1</v>
      </c>
      <c r="F40" s="41"/>
      <c r="G40" s="42">
        <f t="shared" si="1"/>
        <v>0</v>
      </c>
    </row>
    <row r="41" spans="1:7" x14ac:dyDescent="0.45">
      <c r="A41" s="38">
        <v>39</v>
      </c>
      <c r="B41" s="39" t="s">
        <v>33</v>
      </c>
      <c r="C41" s="39" t="s">
        <v>94</v>
      </c>
      <c r="D41" s="40" t="s">
        <v>7</v>
      </c>
      <c r="E41" s="40">
        <v>1</v>
      </c>
      <c r="F41" s="41">
        <v>25.5</v>
      </c>
      <c r="G41" s="42">
        <f t="shared" si="1"/>
        <v>25.5</v>
      </c>
    </row>
    <row r="42" spans="1:7" x14ac:dyDescent="0.45">
      <c r="A42" s="38">
        <v>40</v>
      </c>
      <c r="B42" s="39" t="s">
        <v>33</v>
      </c>
      <c r="C42" s="39" t="s">
        <v>95</v>
      </c>
      <c r="D42" s="40" t="s">
        <v>7</v>
      </c>
      <c r="E42" s="40">
        <v>1</v>
      </c>
      <c r="F42" s="41"/>
      <c r="G42" s="42">
        <f t="shared" si="1"/>
        <v>0</v>
      </c>
    </row>
    <row r="43" spans="1:7" x14ac:dyDescent="0.45">
      <c r="A43" s="38">
        <v>41</v>
      </c>
      <c r="B43" s="39" t="s">
        <v>33</v>
      </c>
      <c r="C43" s="39" t="s">
        <v>34</v>
      </c>
      <c r="D43" s="40" t="s">
        <v>7</v>
      </c>
      <c r="E43" s="40">
        <v>1</v>
      </c>
      <c r="F43" s="41">
        <v>12</v>
      </c>
      <c r="G43" s="42">
        <f>E43*F43</f>
        <v>12</v>
      </c>
    </row>
    <row r="44" spans="1:7" x14ac:dyDescent="0.45">
      <c r="A44" s="38">
        <v>41</v>
      </c>
      <c r="B44" s="39" t="s">
        <v>33</v>
      </c>
      <c r="C44" s="39" t="s">
        <v>96</v>
      </c>
      <c r="D44" s="40" t="s">
        <v>7</v>
      </c>
      <c r="E44" s="40">
        <v>1</v>
      </c>
      <c r="F44" s="41"/>
      <c r="G44" s="42">
        <f t="shared" si="1"/>
        <v>0</v>
      </c>
    </row>
    <row r="45" spans="1:7" x14ac:dyDescent="0.45">
      <c r="A45" s="38">
        <v>42</v>
      </c>
      <c r="B45" s="39" t="s">
        <v>33</v>
      </c>
      <c r="C45" s="39" t="s">
        <v>97</v>
      </c>
      <c r="D45" s="40" t="s">
        <v>7</v>
      </c>
      <c r="E45" s="40">
        <v>1</v>
      </c>
      <c r="F45" s="41"/>
      <c r="G45" s="42">
        <f t="shared" si="1"/>
        <v>0</v>
      </c>
    </row>
    <row r="46" spans="1:7" x14ac:dyDescent="0.45">
      <c r="A46" s="38">
        <v>43</v>
      </c>
      <c r="B46" s="39" t="s">
        <v>33</v>
      </c>
      <c r="C46" s="39" t="s">
        <v>98</v>
      </c>
      <c r="D46" s="40" t="s">
        <v>7</v>
      </c>
      <c r="E46" s="40">
        <v>1</v>
      </c>
      <c r="F46" s="41"/>
      <c r="G46" s="42">
        <f t="shared" si="1"/>
        <v>0</v>
      </c>
    </row>
    <row r="47" spans="1:7" x14ac:dyDescent="0.45">
      <c r="A47" s="38">
        <v>44</v>
      </c>
      <c r="B47" s="39" t="s">
        <v>33</v>
      </c>
      <c r="C47" s="39" t="s">
        <v>99</v>
      </c>
      <c r="D47" s="40" t="s">
        <v>7</v>
      </c>
      <c r="E47" s="40">
        <v>1</v>
      </c>
      <c r="F47" s="41"/>
      <c r="G47" s="42">
        <f t="shared" si="1"/>
        <v>0</v>
      </c>
    </row>
    <row r="48" spans="1:7" x14ac:dyDescent="0.45">
      <c r="A48" s="38">
        <v>45</v>
      </c>
      <c r="B48" s="39" t="s">
        <v>33</v>
      </c>
      <c r="C48" s="39" t="s">
        <v>100</v>
      </c>
      <c r="D48" s="40" t="s">
        <v>7</v>
      </c>
      <c r="E48" s="40">
        <v>1</v>
      </c>
      <c r="F48" s="41"/>
      <c r="G48" s="42">
        <f t="shared" si="1"/>
        <v>0</v>
      </c>
    </row>
    <row r="49" spans="1:7" x14ac:dyDescent="0.45">
      <c r="A49" s="38">
        <v>46</v>
      </c>
      <c r="B49" s="39" t="s">
        <v>33</v>
      </c>
      <c r="C49" s="39" t="s">
        <v>35</v>
      </c>
      <c r="D49" s="40" t="s">
        <v>7</v>
      </c>
      <c r="E49" s="40">
        <v>3</v>
      </c>
      <c r="F49" s="41"/>
      <c r="G49" s="42">
        <f t="shared" si="1"/>
        <v>0</v>
      </c>
    </row>
    <row r="50" spans="1:7" x14ac:dyDescent="0.45">
      <c r="A50" s="38">
        <v>47</v>
      </c>
      <c r="B50" s="39" t="s">
        <v>33</v>
      </c>
      <c r="C50" s="39" t="s">
        <v>36</v>
      </c>
      <c r="D50" s="40" t="s">
        <v>7</v>
      </c>
      <c r="E50" s="40">
        <v>2</v>
      </c>
      <c r="F50" s="41"/>
      <c r="G50" s="42">
        <f t="shared" si="1"/>
        <v>0</v>
      </c>
    </row>
    <row r="51" spans="1:7" x14ac:dyDescent="0.45">
      <c r="A51" s="38">
        <v>48</v>
      </c>
      <c r="B51" s="39" t="s">
        <v>33</v>
      </c>
      <c r="C51" s="39" t="s">
        <v>37</v>
      </c>
      <c r="D51" s="40" t="s">
        <v>7</v>
      </c>
      <c r="E51" s="40">
        <v>3</v>
      </c>
      <c r="F51" s="41"/>
      <c r="G51" s="42">
        <f t="shared" si="1"/>
        <v>0</v>
      </c>
    </row>
    <row r="52" spans="1:7" x14ac:dyDescent="0.45">
      <c r="A52" s="38">
        <v>49</v>
      </c>
      <c r="B52" s="39" t="s">
        <v>33</v>
      </c>
      <c r="C52" s="39" t="s">
        <v>45</v>
      </c>
      <c r="D52" s="40" t="s">
        <v>7</v>
      </c>
      <c r="E52" s="40">
        <v>1.5</v>
      </c>
      <c r="F52" s="41"/>
      <c r="G52" s="42">
        <f t="shared" si="1"/>
        <v>0</v>
      </c>
    </row>
    <row r="53" spans="1:7" x14ac:dyDescent="0.45">
      <c r="A53" s="38">
        <v>50</v>
      </c>
      <c r="B53" s="39" t="s">
        <v>33</v>
      </c>
      <c r="C53" s="39" t="s">
        <v>44</v>
      </c>
      <c r="D53" s="40" t="s">
        <v>7</v>
      </c>
      <c r="E53" s="40">
        <v>1.5</v>
      </c>
      <c r="F53" s="41"/>
      <c r="G53" s="42">
        <f t="shared" si="1"/>
        <v>0</v>
      </c>
    </row>
    <row r="54" spans="1:7" x14ac:dyDescent="0.45">
      <c r="A54" s="38">
        <v>51</v>
      </c>
      <c r="B54" s="39" t="s">
        <v>33</v>
      </c>
      <c r="C54" s="39" t="s">
        <v>39</v>
      </c>
      <c r="D54" s="40" t="s">
        <v>7</v>
      </c>
      <c r="E54" s="40">
        <v>1.5</v>
      </c>
      <c r="F54" s="41"/>
      <c r="G54" s="42">
        <f t="shared" si="1"/>
        <v>0</v>
      </c>
    </row>
    <row r="55" spans="1:7" x14ac:dyDescent="0.45">
      <c r="A55" s="38">
        <v>52</v>
      </c>
      <c r="B55" s="39" t="s">
        <v>33</v>
      </c>
      <c r="C55" s="39" t="s">
        <v>42</v>
      </c>
      <c r="D55" s="40" t="s">
        <v>7</v>
      </c>
      <c r="E55" s="40">
        <v>1</v>
      </c>
      <c r="F55" s="41"/>
      <c r="G55" s="42">
        <f t="shared" si="1"/>
        <v>0</v>
      </c>
    </row>
    <row r="56" spans="1:7" x14ac:dyDescent="0.45">
      <c r="A56" s="38">
        <v>53</v>
      </c>
      <c r="B56" s="39" t="s">
        <v>33</v>
      </c>
      <c r="C56" s="39" t="s">
        <v>43</v>
      </c>
      <c r="D56" s="40" t="s">
        <v>7</v>
      </c>
      <c r="E56" s="40">
        <v>1.5</v>
      </c>
      <c r="F56" s="41"/>
      <c r="G56" s="42">
        <f t="shared" si="1"/>
        <v>0</v>
      </c>
    </row>
    <row r="57" spans="1:7" x14ac:dyDescent="0.45">
      <c r="A57" s="38">
        <v>54</v>
      </c>
      <c r="B57" s="39" t="s">
        <v>33</v>
      </c>
      <c r="C57" s="39" t="s">
        <v>41</v>
      </c>
      <c r="D57" s="43" t="s">
        <v>7</v>
      </c>
      <c r="E57" s="40">
        <v>1</v>
      </c>
      <c r="F57" s="41"/>
      <c r="G57" s="42">
        <f t="shared" si="1"/>
        <v>0</v>
      </c>
    </row>
    <row r="58" spans="1:7" x14ac:dyDescent="0.45">
      <c r="A58" s="38">
        <v>55</v>
      </c>
      <c r="B58" s="39" t="s">
        <v>33</v>
      </c>
      <c r="C58" s="39" t="s">
        <v>40</v>
      </c>
      <c r="D58" s="40" t="s">
        <v>7</v>
      </c>
      <c r="E58" s="40">
        <v>1</v>
      </c>
      <c r="F58" s="41"/>
      <c r="G58" s="42">
        <f t="shared" si="1"/>
        <v>0</v>
      </c>
    </row>
    <row r="59" spans="1:7" x14ac:dyDescent="0.45">
      <c r="A59" s="38">
        <v>56</v>
      </c>
      <c r="B59" s="39" t="s">
        <v>33</v>
      </c>
      <c r="C59" s="39" t="s">
        <v>38</v>
      </c>
      <c r="D59" s="40" t="s">
        <v>7</v>
      </c>
      <c r="E59" s="40">
        <v>3</v>
      </c>
      <c r="F59" s="41"/>
      <c r="G59" s="42">
        <f t="shared" si="1"/>
        <v>0</v>
      </c>
    </row>
    <row r="60" spans="1:7" x14ac:dyDescent="0.45">
      <c r="A60" s="38">
        <v>57</v>
      </c>
      <c r="B60" s="39" t="s">
        <v>101</v>
      </c>
      <c r="C60" s="39" t="s">
        <v>20</v>
      </c>
      <c r="D60" s="40" t="s">
        <v>21</v>
      </c>
      <c r="E60" s="40">
        <v>30</v>
      </c>
      <c r="F60" s="41"/>
      <c r="G60" s="42">
        <f t="shared" si="1"/>
        <v>0</v>
      </c>
    </row>
    <row r="61" spans="1:7" x14ac:dyDescent="0.45">
      <c r="A61" s="38">
        <v>58</v>
      </c>
      <c r="B61" s="39" t="s">
        <v>101</v>
      </c>
      <c r="C61" s="39" t="s">
        <v>22</v>
      </c>
      <c r="D61" s="40" t="s">
        <v>23</v>
      </c>
      <c r="E61" s="40">
        <v>1</v>
      </c>
      <c r="F61" s="41"/>
      <c r="G61" s="42">
        <f t="shared" si="1"/>
        <v>0</v>
      </c>
    </row>
    <row r="62" spans="1:7" x14ac:dyDescent="0.45">
      <c r="A62" s="38">
        <v>59</v>
      </c>
      <c r="B62" s="39" t="s">
        <v>101</v>
      </c>
      <c r="C62" s="39" t="s">
        <v>24</v>
      </c>
      <c r="D62" s="40" t="s">
        <v>23</v>
      </c>
      <c r="E62" s="40">
        <v>1</v>
      </c>
      <c r="F62" s="41"/>
      <c r="G62" s="42">
        <f t="shared" si="1"/>
        <v>0</v>
      </c>
    </row>
    <row r="63" spans="1:7" x14ac:dyDescent="0.45">
      <c r="A63" s="38">
        <v>60</v>
      </c>
      <c r="B63" s="39" t="s">
        <v>101</v>
      </c>
      <c r="C63" s="39" t="s">
        <v>58</v>
      </c>
      <c r="D63" s="40" t="s">
        <v>7</v>
      </c>
      <c r="E63" s="40">
        <v>3</v>
      </c>
      <c r="F63" s="41"/>
      <c r="G63" s="42">
        <f t="shared" si="1"/>
        <v>0</v>
      </c>
    </row>
    <row r="64" spans="1:7" x14ac:dyDescent="0.45">
      <c r="A64" s="38">
        <v>61</v>
      </c>
      <c r="B64" s="39" t="s">
        <v>101</v>
      </c>
      <c r="C64" s="39" t="s">
        <v>59</v>
      </c>
      <c r="D64" s="40" t="s">
        <v>7</v>
      </c>
      <c r="E64" s="40">
        <v>1.5</v>
      </c>
      <c r="F64" s="41"/>
      <c r="G64" s="42">
        <f t="shared" si="1"/>
        <v>0</v>
      </c>
    </row>
    <row r="65" spans="1:8" x14ac:dyDescent="0.45">
      <c r="A65" s="38">
        <v>62</v>
      </c>
      <c r="B65" s="39" t="s">
        <v>101</v>
      </c>
      <c r="C65" s="39" t="s">
        <v>64</v>
      </c>
      <c r="D65" s="40" t="s">
        <v>7</v>
      </c>
      <c r="E65" s="40">
        <v>3</v>
      </c>
      <c r="F65" s="41"/>
      <c r="G65" s="42">
        <f t="shared" si="1"/>
        <v>0</v>
      </c>
    </row>
    <row r="66" spans="1:8" x14ac:dyDescent="0.45">
      <c r="A66" s="38">
        <v>63</v>
      </c>
      <c r="B66" s="39" t="s">
        <v>101</v>
      </c>
      <c r="C66" s="39" t="s">
        <v>61</v>
      </c>
      <c r="D66" s="40" t="s">
        <v>7</v>
      </c>
      <c r="E66" s="40">
        <v>3</v>
      </c>
      <c r="F66" s="41"/>
      <c r="G66" s="42">
        <f t="shared" si="1"/>
        <v>0</v>
      </c>
    </row>
    <row r="67" spans="1:8" x14ac:dyDescent="0.45">
      <c r="A67" s="38">
        <v>64</v>
      </c>
      <c r="B67" s="39" t="s">
        <v>101</v>
      </c>
      <c r="C67" s="39" t="s">
        <v>62</v>
      </c>
      <c r="D67" s="40" t="s">
        <v>7</v>
      </c>
      <c r="E67" s="40">
        <v>3</v>
      </c>
      <c r="F67" s="41"/>
      <c r="G67" s="42">
        <f t="shared" ref="G67:G77" si="2">E67*F67</f>
        <v>0</v>
      </c>
    </row>
    <row r="68" spans="1:8" x14ac:dyDescent="0.45">
      <c r="A68" s="38">
        <v>65</v>
      </c>
      <c r="B68" s="39" t="s">
        <v>101</v>
      </c>
      <c r="C68" s="39" t="s">
        <v>55</v>
      </c>
      <c r="D68" s="40" t="s">
        <v>7</v>
      </c>
      <c r="E68" s="40">
        <v>2</v>
      </c>
      <c r="F68" s="41"/>
      <c r="G68" s="42">
        <f t="shared" si="2"/>
        <v>0</v>
      </c>
    </row>
    <row r="69" spans="1:8" x14ac:dyDescent="0.45">
      <c r="A69" s="38">
        <v>66</v>
      </c>
      <c r="B69" s="39" t="s">
        <v>101</v>
      </c>
      <c r="C69" s="39" t="s">
        <v>51</v>
      </c>
      <c r="D69" s="40" t="s">
        <v>7</v>
      </c>
      <c r="E69" s="40">
        <v>1</v>
      </c>
      <c r="F69" s="41">
        <v>11.5</v>
      </c>
      <c r="G69" s="42">
        <f t="shared" si="2"/>
        <v>11.5</v>
      </c>
    </row>
    <row r="70" spans="1:8" x14ac:dyDescent="0.45">
      <c r="A70" s="38">
        <v>67</v>
      </c>
      <c r="B70" s="39" t="s">
        <v>101</v>
      </c>
      <c r="C70" s="39" t="s">
        <v>52</v>
      </c>
      <c r="D70" s="40" t="s">
        <v>7</v>
      </c>
      <c r="E70" s="40">
        <v>2</v>
      </c>
      <c r="F70" s="41"/>
      <c r="G70" s="42">
        <f t="shared" si="2"/>
        <v>0</v>
      </c>
    </row>
    <row r="71" spans="1:8" x14ac:dyDescent="0.45">
      <c r="A71" s="38">
        <v>68</v>
      </c>
      <c r="B71" s="39" t="s">
        <v>101</v>
      </c>
      <c r="C71" s="39" t="s">
        <v>53</v>
      </c>
      <c r="D71" s="40" t="s">
        <v>7</v>
      </c>
      <c r="E71" s="40">
        <v>1</v>
      </c>
      <c r="F71" s="41"/>
      <c r="G71" s="42">
        <f t="shared" si="2"/>
        <v>0</v>
      </c>
    </row>
    <row r="72" spans="1:8" x14ac:dyDescent="0.45">
      <c r="A72" s="38">
        <v>69</v>
      </c>
      <c r="B72" s="39" t="s">
        <v>101</v>
      </c>
      <c r="C72" s="39" t="s">
        <v>54</v>
      </c>
      <c r="D72" s="40" t="s">
        <v>7</v>
      </c>
      <c r="E72" s="40">
        <v>1.5</v>
      </c>
      <c r="F72" s="41"/>
      <c r="G72" s="42">
        <f t="shared" si="2"/>
        <v>0</v>
      </c>
    </row>
    <row r="73" spans="1:8" x14ac:dyDescent="0.45">
      <c r="A73" s="38">
        <v>70</v>
      </c>
      <c r="B73" s="39" t="s">
        <v>101</v>
      </c>
      <c r="C73" s="39" t="s">
        <v>102</v>
      </c>
      <c r="D73" s="40" t="s">
        <v>23</v>
      </c>
      <c r="E73" s="40">
        <v>1</v>
      </c>
      <c r="F73" s="41"/>
      <c r="G73" s="42">
        <f t="shared" si="2"/>
        <v>0</v>
      </c>
    </row>
    <row r="74" spans="1:8" x14ac:dyDescent="0.45">
      <c r="A74" s="38">
        <v>71</v>
      </c>
      <c r="B74" s="39" t="s">
        <v>101</v>
      </c>
      <c r="C74" s="39" t="s">
        <v>60</v>
      </c>
      <c r="D74" s="40" t="s">
        <v>7</v>
      </c>
      <c r="E74" s="40">
        <v>1</v>
      </c>
      <c r="F74" s="41"/>
      <c r="G74" s="42">
        <f t="shared" si="2"/>
        <v>0</v>
      </c>
    </row>
    <row r="75" spans="1:8" x14ac:dyDescent="0.45">
      <c r="A75" s="38">
        <v>72</v>
      </c>
      <c r="B75" s="39" t="s">
        <v>101</v>
      </c>
      <c r="C75" s="39" t="s">
        <v>56</v>
      </c>
      <c r="D75" s="40" t="s">
        <v>57</v>
      </c>
      <c r="E75" s="40">
        <v>30</v>
      </c>
      <c r="F75" s="41"/>
      <c r="G75" s="42">
        <f t="shared" si="2"/>
        <v>0</v>
      </c>
    </row>
    <row r="76" spans="1:8" x14ac:dyDescent="0.45">
      <c r="A76" s="38">
        <v>79</v>
      </c>
      <c r="B76" s="39" t="s">
        <v>101</v>
      </c>
      <c r="C76" s="39" t="s">
        <v>103</v>
      </c>
      <c r="D76" s="40" t="s">
        <v>7</v>
      </c>
      <c r="E76" s="40">
        <v>1.5</v>
      </c>
      <c r="F76" s="41"/>
      <c r="G76" s="42">
        <f t="shared" si="2"/>
        <v>0</v>
      </c>
    </row>
    <row r="77" spans="1:8" x14ac:dyDescent="0.45">
      <c r="A77" s="38">
        <v>80</v>
      </c>
      <c r="B77" s="39" t="s">
        <v>101</v>
      </c>
      <c r="C77" s="39" t="s">
        <v>63</v>
      </c>
      <c r="D77" s="40" t="s">
        <v>7</v>
      </c>
      <c r="E77" s="40">
        <v>1</v>
      </c>
      <c r="F77" s="41"/>
      <c r="G77" s="42">
        <f t="shared" si="2"/>
        <v>0</v>
      </c>
    </row>
    <row r="78" spans="1:8" x14ac:dyDescent="0.45">
      <c r="A78" s="38">
        <v>81</v>
      </c>
      <c r="B78" s="39" t="s">
        <v>101</v>
      </c>
      <c r="C78" s="39" t="s">
        <v>65</v>
      </c>
      <c r="D78" s="40" t="s">
        <v>7</v>
      </c>
      <c r="E78" s="40">
        <v>1</v>
      </c>
      <c r="F78" s="41">
        <v>50</v>
      </c>
      <c r="G78" s="42">
        <f>E78*F78</f>
        <v>50</v>
      </c>
    </row>
    <row r="79" spans="1:8" x14ac:dyDescent="0.45">
      <c r="A79" s="44">
        <v>82</v>
      </c>
      <c r="B79" s="45" t="s">
        <v>101</v>
      </c>
      <c r="C79" s="45" t="s">
        <v>263</v>
      </c>
      <c r="D79" s="46" t="s">
        <v>7</v>
      </c>
      <c r="E79" s="46">
        <v>3</v>
      </c>
      <c r="F79" s="47">
        <v>50</v>
      </c>
      <c r="G79" s="48">
        <f>E79*F79</f>
        <v>150</v>
      </c>
      <c r="H79" s="26" t="s">
        <v>231</v>
      </c>
    </row>
    <row r="80" spans="1:8" x14ac:dyDescent="0.45">
      <c r="A80" s="44">
        <v>83</v>
      </c>
      <c r="B80" s="45" t="s">
        <v>101</v>
      </c>
      <c r="C80" s="45" t="s">
        <v>264</v>
      </c>
      <c r="D80" s="46" t="s">
        <v>7</v>
      </c>
      <c r="E80" s="46">
        <v>3</v>
      </c>
      <c r="F80" s="47">
        <v>20</v>
      </c>
      <c r="G80" s="48">
        <f>E80*F80</f>
        <v>60</v>
      </c>
      <c r="H80" s="26" t="s">
        <v>231</v>
      </c>
    </row>
    <row r="81" spans="1:8" x14ac:dyDescent="0.45">
      <c r="A81" s="44">
        <v>84</v>
      </c>
      <c r="B81" s="45" t="s">
        <v>101</v>
      </c>
      <c r="C81" s="45" t="s">
        <v>265</v>
      </c>
      <c r="D81" s="46" t="s">
        <v>7</v>
      </c>
      <c r="E81" s="46">
        <v>3</v>
      </c>
      <c r="F81" s="47"/>
      <c r="G81" s="48">
        <f>E81*F81</f>
        <v>0</v>
      </c>
      <c r="H81" s="26" t="s">
        <v>231</v>
      </c>
    </row>
    <row r="82" spans="1:8" x14ac:dyDescent="0.45">
      <c r="A82" s="49">
        <v>85</v>
      </c>
      <c r="B82" s="50" t="s">
        <v>101</v>
      </c>
      <c r="C82" s="45" t="s">
        <v>266</v>
      </c>
      <c r="D82" s="51" t="s">
        <v>7</v>
      </c>
      <c r="E82" s="52">
        <v>3</v>
      </c>
      <c r="F82" s="53"/>
      <c r="G82" s="54">
        <f>E82*F82</f>
        <v>0</v>
      </c>
      <c r="H82" s="26" t="s">
        <v>231</v>
      </c>
    </row>
    <row r="83" spans="1:8" x14ac:dyDescent="0.45">
      <c r="A83" s="55"/>
      <c r="B83" s="55"/>
      <c r="C83" s="55"/>
      <c r="D83" s="55"/>
      <c r="E83" s="56" t="s">
        <v>75</v>
      </c>
      <c r="F83" s="57">
        <f>SUM(F3:F82)</f>
        <v>819</v>
      </c>
      <c r="G83" s="58">
        <f>SUM(G3:G82)</f>
        <v>1709</v>
      </c>
    </row>
    <row r="84" spans="1:8" x14ac:dyDescent="0.45">
      <c r="A84" s="55"/>
      <c r="B84" s="55"/>
      <c r="C84" s="59" t="s">
        <v>76</v>
      </c>
      <c r="D84" s="60">
        <v>121</v>
      </c>
      <c r="E84" s="61" t="s">
        <v>66</v>
      </c>
      <c r="F84" s="62">
        <v>1</v>
      </c>
      <c r="G84" s="63" t="s">
        <v>67</v>
      </c>
    </row>
    <row r="85" spans="1:8" x14ac:dyDescent="0.45">
      <c r="A85" s="55"/>
      <c r="B85" s="55"/>
      <c r="C85" s="64" t="s">
        <v>77</v>
      </c>
      <c r="D85" s="65">
        <f>D84*7</f>
        <v>847</v>
      </c>
      <c r="E85" s="66" t="s">
        <v>68</v>
      </c>
      <c r="F85" s="62"/>
      <c r="G85" s="67" t="s">
        <v>67</v>
      </c>
    </row>
    <row r="86" spans="1:8" x14ac:dyDescent="0.45">
      <c r="A86" s="55"/>
      <c r="B86" s="55"/>
      <c r="C86" s="64" t="s">
        <v>78</v>
      </c>
      <c r="D86" s="65">
        <f>F87*7</f>
        <v>28</v>
      </c>
      <c r="E86" s="66" t="s">
        <v>69</v>
      </c>
      <c r="F86" s="62">
        <v>3</v>
      </c>
      <c r="G86" s="67" t="s">
        <v>67</v>
      </c>
    </row>
    <row r="87" spans="1:8" x14ac:dyDescent="0.45">
      <c r="A87" s="55"/>
      <c r="B87" s="55"/>
      <c r="C87" s="64" t="s">
        <v>70</v>
      </c>
      <c r="D87" s="65">
        <f>D85-D86</f>
        <v>819</v>
      </c>
      <c r="E87" s="66" t="s">
        <v>71</v>
      </c>
      <c r="F87" s="68">
        <f>SUM(F84:F86)</f>
        <v>4</v>
      </c>
      <c r="G87" s="67" t="s">
        <v>67</v>
      </c>
    </row>
    <row r="88" spans="1:8" x14ac:dyDescent="0.45">
      <c r="A88" s="55"/>
      <c r="B88" s="55"/>
      <c r="C88" s="69" t="s">
        <v>72</v>
      </c>
      <c r="D88" s="70">
        <f>D87-F83</f>
        <v>0</v>
      </c>
      <c r="E88" s="71" t="s">
        <v>73</v>
      </c>
      <c r="F88" s="62">
        <v>1</v>
      </c>
      <c r="G88" s="72" t="s">
        <v>67</v>
      </c>
    </row>
    <row r="89" spans="1:8" x14ac:dyDescent="0.45">
      <c r="C89" s="26" t="s">
        <v>237</v>
      </c>
    </row>
    <row r="94" spans="1:8" x14ac:dyDescent="0.45">
      <c r="F94" s="26" t="s">
        <v>234</v>
      </c>
      <c r="G94" s="26" t="s">
        <v>235</v>
      </c>
    </row>
    <row r="95" spans="1:8" ht="27" x14ac:dyDescent="0.45">
      <c r="C95" s="73" t="s">
        <v>232</v>
      </c>
      <c r="D95" s="74"/>
      <c r="E95" s="74"/>
      <c r="F95" s="74">
        <f>SUMIF(Table1[ประเภทงาน],"1*",Table1[ชั่วโมงทำงาน])</f>
        <v>650</v>
      </c>
      <c r="G95" s="74">
        <f>SUMIF(Table1[ประเภทงาน],"1*",Table1[ภาระงาน(E*F)])</f>
        <v>1400</v>
      </c>
    </row>
    <row r="96" spans="1:8" ht="27" x14ac:dyDescent="0.45">
      <c r="C96" s="73" t="s">
        <v>233</v>
      </c>
      <c r="D96" s="74"/>
      <c r="E96" s="74"/>
      <c r="F96" s="74">
        <f>SUMIF(Table1[ประเภทงาน],"2*",Table1[ชั่วโมงทำงาน])</f>
        <v>70</v>
      </c>
      <c r="G96" s="74">
        <f>SUMIF(Table1[ประเภทงาน],"2*",Table1[ภาระงาน(E*F)])</f>
        <v>210</v>
      </c>
    </row>
    <row r="97" spans="6:7" x14ac:dyDescent="0.45">
      <c r="F97" s="26">
        <f>SUM($F$95,$F$96)</f>
        <v>720</v>
      </c>
      <c r="G97" s="75">
        <f>SUM($G$95,$G$96)</f>
        <v>1610</v>
      </c>
    </row>
  </sheetData>
  <sheetProtection selectLockedCells="1"/>
  <mergeCells count="1">
    <mergeCell ref="A1:G1"/>
  </mergeCells>
  <phoneticPr fontId="10" type="noConversion"/>
  <conditionalFormatting sqref="D88">
    <cfRule type="cellIs" dxfId="5" priority="4" operator="equal">
      <formula>0</formula>
    </cfRule>
    <cfRule type="cellIs" dxfId="4" priority="5" operator="lessThan">
      <formula>$D$87</formula>
    </cfRule>
    <cfRule type="cellIs" dxfId="3" priority="6" operator="greaterThan">
      <formula>$D$87</formula>
    </cfRule>
  </conditionalFormatting>
  <conditionalFormatting sqref="F83">
    <cfRule type="cellIs" dxfId="2" priority="3" operator="equal">
      <formula>$D$87</formula>
    </cfRule>
  </conditionalFormatting>
  <conditionalFormatting sqref="F97">
    <cfRule type="cellIs" dxfId="1" priority="1" operator="lessThan">
      <formula>$F$83</formula>
    </cfRule>
    <cfRule type="cellIs" dxfId="0" priority="2" operator="equal">
      <formula>$F$83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F623-C6E4-9F4E-9826-81D18B025C1E}">
  <sheetPr>
    <tabColor rgb="FFFFFF00"/>
  </sheetPr>
  <dimension ref="A1:K37"/>
  <sheetViews>
    <sheetView topLeftCell="A4" zoomScale="114" zoomScaleNormal="90" workbookViewId="0">
      <selection activeCell="H4" sqref="H4"/>
    </sheetView>
  </sheetViews>
  <sheetFormatPr defaultColWidth="10.875" defaultRowHeight="18.75" x14ac:dyDescent="0.45"/>
  <cols>
    <col min="1" max="1" width="15.75" style="26" customWidth="1"/>
    <col min="2" max="2" width="38" style="26" customWidth="1"/>
    <col min="3" max="3" width="5.125" style="26" customWidth="1"/>
    <col min="4" max="4" width="5.25" style="26" bestFit="1" customWidth="1"/>
    <col min="5" max="5" width="5.875" style="26" customWidth="1"/>
    <col min="6" max="6" width="5.125" style="26" customWidth="1"/>
    <col min="7" max="7" width="4" style="26" customWidth="1"/>
    <col min="8" max="8" width="10.25" style="26" customWidth="1"/>
    <col min="9" max="9" width="10.875" style="26"/>
    <col min="10" max="10" width="30.25" style="26" customWidth="1"/>
    <col min="11" max="11" width="10.875" style="26"/>
    <col min="12" max="12" width="28.75" style="26" customWidth="1"/>
    <col min="13" max="13" width="36.125" style="26" customWidth="1"/>
    <col min="14" max="14" width="23.25" style="26" bestFit="1" customWidth="1"/>
    <col min="15" max="15" width="18.875" style="26" bestFit="1" customWidth="1"/>
    <col min="16" max="16384" width="10.875" style="26"/>
  </cols>
  <sheetData>
    <row r="1" spans="1:10" ht="33" x14ac:dyDescent="0.75">
      <c r="A1" s="76" t="s">
        <v>153</v>
      </c>
    </row>
    <row r="2" spans="1:10" ht="45" customHeight="1" x14ac:dyDescent="0.45">
      <c r="A2" s="117" t="s">
        <v>197</v>
      </c>
      <c r="B2" s="117"/>
      <c r="C2" s="118" t="s">
        <v>104</v>
      </c>
      <c r="D2" s="118"/>
      <c r="E2" s="118"/>
      <c r="F2" s="118"/>
      <c r="G2" s="78"/>
      <c r="H2" s="16" t="s">
        <v>105</v>
      </c>
      <c r="I2" s="77" t="s">
        <v>106</v>
      </c>
      <c r="J2" s="77" t="s">
        <v>198</v>
      </c>
    </row>
    <row r="3" spans="1:10" ht="24" x14ac:dyDescent="0.45">
      <c r="A3" s="79"/>
      <c r="B3" s="80"/>
      <c r="C3" s="81" t="s">
        <v>107</v>
      </c>
      <c r="D3" s="82" t="s">
        <v>108</v>
      </c>
      <c r="E3" s="81">
        <v>5</v>
      </c>
      <c r="F3" s="81" t="s">
        <v>109</v>
      </c>
      <c r="G3" s="83"/>
      <c r="H3" s="82" t="s">
        <v>110</v>
      </c>
      <c r="I3" s="84" t="s">
        <v>111</v>
      </c>
      <c r="J3" s="79"/>
    </row>
    <row r="4" spans="1:10" ht="51.95" customHeight="1" x14ac:dyDescent="0.55000000000000004">
      <c r="A4" s="119" t="s">
        <v>199</v>
      </c>
      <c r="B4" s="85" t="s">
        <v>200</v>
      </c>
      <c r="C4" s="86">
        <v>1</v>
      </c>
      <c r="D4" s="86">
        <v>2</v>
      </c>
      <c r="E4" s="86">
        <v>3</v>
      </c>
      <c r="F4" s="86">
        <v>4</v>
      </c>
      <c r="G4" s="83"/>
      <c r="H4" s="87">
        <v>2</v>
      </c>
      <c r="I4" s="88">
        <f>H4-D4</f>
        <v>0</v>
      </c>
      <c r="J4" s="89" t="s">
        <v>248</v>
      </c>
    </row>
    <row r="5" spans="1:10" ht="72" x14ac:dyDescent="0.55000000000000004">
      <c r="A5" s="119"/>
      <c r="B5" s="85" t="s">
        <v>201</v>
      </c>
      <c r="C5" s="86">
        <v>1</v>
      </c>
      <c r="D5" s="86">
        <v>2</v>
      </c>
      <c r="E5" s="86">
        <v>3</v>
      </c>
      <c r="F5" s="86">
        <v>4</v>
      </c>
      <c r="G5" s="79"/>
      <c r="H5" s="87">
        <v>2</v>
      </c>
      <c r="I5" s="88"/>
      <c r="J5" s="79"/>
    </row>
    <row r="6" spans="1:10" ht="48" x14ac:dyDescent="0.55000000000000004">
      <c r="A6" s="119"/>
      <c r="B6" s="85" t="s">
        <v>202</v>
      </c>
      <c r="C6" s="86">
        <v>1</v>
      </c>
      <c r="D6" s="86">
        <v>2</v>
      </c>
      <c r="E6" s="86">
        <v>3</v>
      </c>
      <c r="F6" s="86">
        <v>4</v>
      </c>
      <c r="G6" s="79"/>
      <c r="H6" s="87">
        <v>2</v>
      </c>
      <c r="I6" s="88">
        <f t="shared" ref="I6" si="0">H6-D6</f>
        <v>0</v>
      </c>
      <c r="J6" s="79"/>
    </row>
    <row r="7" spans="1:10" ht="21.75" x14ac:dyDescent="0.45">
      <c r="A7" s="79"/>
      <c r="B7" s="80"/>
      <c r="C7" s="90"/>
      <c r="D7" s="90"/>
      <c r="E7" s="90"/>
      <c r="F7" s="90"/>
      <c r="G7" s="79"/>
      <c r="H7" s="79"/>
      <c r="I7" s="91"/>
      <c r="J7" s="79"/>
    </row>
    <row r="8" spans="1:10" ht="24" x14ac:dyDescent="0.55000000000000004">
      <c r="A8" s="119" t="s">
        <v>203</v>
      </c>
      <c r="B8" s="85" t="s">
        <v>204</v>
      </c>
      <c r="C8" s="86">
        <v>1</v>
      </c>
      <c r="D8" s="86">
        <v>2</v>
      </c>
      <c r="E8" s="86">
        <v>3</v>
      </c>
      <c r="F8" s="86">
        <v>4</v>
      </c>
      <c r="G8" s="92"/>
      <c r="H8" s="83">
        <v>2</v>
      </c>
      <c r="I8" s="88">
        <f t="shared" ref="I8:I13" si="1">H8-D8</f>
        <v>0</v>
      </c>
      <c r="J8" s="79"/>
    </row>
    <row r="9" spans="1:10" ht="24" x14ac:dyDescent="0.55000000000000004">
      <c r="A9" s="119"/>
      <c r="B9" s="85" t="s">
        <v>205</v>
      </c>
      <c r="C9" s="86">
        <v>1</v>
      </c>
      <c r="D9" s="86">
        <v>2</v>
      </c>
      <c r="E9" s="86">
        <v>3</v>
      </c>
      <c r="F9" s="86">
        <v>4</v>
      </c>
      <c r="G9" s="79"/>
      <c r="H9" s="87">
        <v>2</v>
      </c>
      <c r="I9" s="88">
        <f t="shared" si="1"/>
        <v>0</v>
      </c>
      <c r="J9" s="79"/>
    </row>
    <row r="10" spans="1:10" ht="24" x14ac:dyDescent="0.55000000000000004">
      <c r="A10" s="119"/>
      <c r="B10" s="85" t="s">
        <v>206</v>
      </c>
      <c r="C10" s="86">
        <v>1</v>
      </c>
      <c r="D10" s="86">
        <v>2</v>
      </c>
      <c r="E10" s="86">
        <v>3</v>
      </c>
      <c r="F10" s="86">
        <v>4</v>
      </c>
      <c r="G10" s="79"/>
      <c r="H10" s="87">
        <v>2</v>
      </c>
      <c r="I10" s="88">
        <f t="shared" si="1"/>
        <v>0</v>
      </c>
      <c r="J10" s="79"/>
    </row>
    <row r="11" spans="1:10" ht="24" x14ac:dyDescent="0.55000000000000004">
      <c r="A11" s="119"/>
      <c r="B11" s="85" t="s">
        <v>207</v>
      </c>
      <c r="C11" s="86">
        <v>1</v>
      </c>
      <c r="D11" s="86">
        <v>2</v>
      </c>
      <c r="E11" s="86">
        <v>3</v>
      </c>
      <c r="F11" s="86">
        <v>4</v>
      </c>
      <c r="G11" s="79"/>
      <c r="H11" s="87">
        <v>2</v>
      </c>
      <c r="I11" s="88">
        <f t="shared" si="1"/>
        <v>0</v>
      </c>
      <c r="J11" s="79"/>
    </row>
    <row r="12" spans="1:10" ht="24" x14ac:dyDescent="0.55000000000000004">
      <c r="A12" s="119"/>
      <c r="B12" s="85" t="s">
        <v>208</v>
      </c>
      <c r="C12" s="86">
        <v>1</v>
      </c>
      <c r="D12" s="86">
        <v>2</v>
      </c>
      <c r="E12" s="86">
        <v>3</v>
      </c>
      <c r="F12" s="86">
        <v>4</v>
      </c>
      <c r="G12" s="79"/>
      <c r="H12" s="87">
        <v>2</v>
      </c>
      <c r="I12" s="88">
        <f t="shared" si="1"/>
        <v>0</v>
      </c>
      <c r="J12" s="79"/>
    </row>
    <row r="13" spans="1:10" ht="24" x14ac:dyDescent="0.55000000000000004">
      <c r="A13" s="119"/>
      <c r="B13" s="85" t="s">
        <v>209</v>
      </c>
      <c r="C13" s="86">
        <v>1</v>
      </c>
      <c r="D13" s="86">
        <v>2</v>
      </c>
      <c r="E13" s="86">
        <v>3</v>
      </c>
      <c r="F13" s="86">
        <v>4</v>
      </c>
      <c r="G13" s="79"/>
      <c r="H13" s="83">
        <v>2</v>
      </c>
      <c r="I13" s="88">
        <f t="shared" si="1"/>
        <v>0</v>
      </c>
      <c r="J13" s="79"/>
    </row>
    <row r="14" spans="1:10" ht="21.75" x14ac:dyDescent="0.5">
      <c r="A14" s="79"/>
      <c r="B14" s="93" t="s">
        <v>219</v>
      </c>
      <c r="C14" s="79"/>
      <c r="D14" s="79"/>
      <c r="E14" s="79"/>
      <c r="F14" s="79"/>
      <c r="G14" s="79"/>
      <c r="H14" s="79"/>
      <c r="I14" s="94">
        <f>COUNTA(B4:B13)</f>
        <v>9</v>
      </c>
      <c r="J14" s="93" t="s">
        <v>141</v>
      </c>
    </row>
    <row r="15" spans="1:10" ht="21.75" x14ac:dyDescent="0.5">
      <c r="A15" s="79"/>
      <c r="B15" s="93" t="s">
        <v>112</v>
      </c>
      <c r="C15" s="79"/>
      <c r="D15" s="79"/>
      <c r="E15" s="79"/>
      <c r="F15" s="79"/>
      <c r="G15" s="79"/>
      <c r="H15" s="79"/>
      <c r="I15" s="94">
        <f>COUNTIF((I4:I13),"&gt;=0")</f>
        <v>8</v>
      </c>
      <c r="J15" s="93" t="s">
        <v>218</v>
      </c>
    </row>
    <row r="16" spans="1:10" ht="21.75" x14ac:dyDescent="0.5">
      <c r="A16" s="79"/>
      <c r="B16" s="93" t="s">
        <v>113</v>
      </c>
      <c r="C16" s="79"/>
      <c r="D16" s="79"/>
      <c r="E16" s="79"/>
      <c r="F16" s="79"/>
      <c r="G16" s="79"/>
      <c r="H16" s="79"/>
      <c r="I16" s="95">
        <f>I15*100/I14</f>
        <v>88.888888888888886</v>
      </c>
      <c r="J16" s="93" t="s">
        <v>220</v>
      </c>
    </row>
    <row r="17" spans="1:11" ht="21.75" x14ac:dyDescent="0.5">
      <c r="A17" s="79"/>
      <c r="B17" s="93" t="s">
        <v>210</v>
      </c>
      <c r="C17" s="79"/>
      <c r="D17" s="79"/>
      <c r="E17" s="79"/>
      <c r="F17" s="79"/>
      <c r="G17" s="79"/>
      <c r="H17" s="79"/>
      <c r="I17" s="95">
        <f>I16*5/100</f>
        <v>4.4444444444444446</v>
      </c>
      <c r="J17" s="93" t="s">
        <v>221</v>
      </c>
    </row>
    <row r="18" spans="1:11" ht="21.75" x14ac:dyDescent="0.5">
      <c r="A18" s="79"/>
      <c r="B18" s="93" t="s">
        <v>211</v>
      </c>
      <c r="C18" s="79"/>
      <c r="D18" s="79"/>
      <c r="E18" s="79"/>
      <c r="F18" s="79"/>
      <c r="G18" s="79"/>
      <c r="H18" s="79"/>
      <c r="I18" s="96">
        <f>I17*30/100</f>
        <v>1.3333333333333335</v>
      </c>
      <c r="J18" s="93" t="s">
        <v>222</v>
      </c>
    </row>
    <row r="22" spans="1:11" ht="27" x14ac:dyDescent="0.6">
      <c r="A22" s="97" t="s">
        <v>239</v>
      </c>
      <c r="B22" s="97"/>
      <c r="C22" s="97"/>
      <c r="I22" s="98" t="s">
        <v>133</v>
      </c>
      <c r="J22" s="99" t="s">
        <v>154</v>
      </c>
      <c r="K22" s="98" t="s">
        <v>132</v>
      </c>
    </row>
    <row r="23" spans="1:11" ht="27" x14ac:dyDescent="0.6">
      <c r="A23" s="97" t="s">
        <v>249</v>
      </c>
      <c r="B23" s="97"/>
      <c r="C23" s="97"/>
      <c r="I23" s="100" t="s">
        <v>134</v>
      </c>
      <c r="J23" s="100" t="s">
        <v>212</v>
      </c>
      <c r="K23" s="101">
        <v>1</v>
      </c>
    </row>
    <row r="24" spans="1:11" ht="27" x14ac:dyDescent="0.6">
      <c r="A24" s="97" t="s">
        <v>73</v>
      </c>
      <c r="B24" s="97" t="s">
        <v>240</v>
      </c>
      <c r="C24" s="97" t="s">
        <v>241</v>
      </c>
      <c r="I24" s="100" t="s">
        <v>135</v>
      </c>
      <c r="J24" s="100" t="s">
        <v>136</v>
      </c>
      <c r="K24" s="101">
        <v>2</v>
      </c>
    </row>
    <row r="25" spans="1:11" ht="27" x14ac:dyDescent="0.6">
      <c r="A25" s="97" t="s">
        <v>242</v>
      </c>
      <c r="B25" s="97" t="s">
        <v>243</v>
      </c>
      <c r="C25" s="97">
        <v>2</v>
      </c>
      <c r="I25" s="100" t="s">
        <v>137</v>
      </c>
      <c r="J25" s="100" t="s">
        <v>213</v>
      </c>
      <c r="K25" s="101">
        <v>3</v>
      </c>
    </row>
    <row r="26" spans="1:11" ht="27" x14ac:dyDescent="0.6">
      <c r="A26" s="97"/>
      <c r="B26" s="97" t="s">
        <v>244</v>
      </c>
      <c r="C26" s="97">
        <v>2</v>
      </c>
      <c r="I26" s="100" t="s">
        <v>138</v>
      </c>
      <c r="J26" s="100" t="s">
        <v>214</v>
      </c>
      <c r="K26" s="101">
        <v>4</v>
      </c>
    </row>
    <row r="27" spans="1:11" ht="27" x14ac:dyDescent="0.6">
      <c r="A27" s="97"/>
      <c r="B27" s="97" t="s">
        <v>245</v>
      </c>
      <c r="C27" s="97">
        <v>3</v>
      </c>
      <c r="I27" s="100" t="s">
        <v>139</v>
      </c>
      <c r="J27" s="100" t="s">
        <v>140</v>
      </c>
      <c r="K27" s="101">
        <v>5</v>
      </c>
    </row>
    <row r="28" spans="1:11" ht="27" x14ac:dyDescent="0.6">
      <c r="A28" s="97"/>
      <c r="B28" s="97" t="s">
        <v>246</v>
      </c>
      <c r="C28" s="97">
        <v>4</v>
      </c>
    </row>
    <row r="29" spans="1:11" ht="27" x14ac:dyDescent="0.6">
      <c r="A29" s="97"/>
      <c r="B29" s="97" t="s">
        <v>247</v>
      </c>
      <c r="C29" s="97">
        <v>5</v>
      </c>
    </row>
    <row r="33" spans="1:3" ht="27" x14ac:dyDescent="0.6">
      <c r="A33" s="97" t="s">
        <v>250</v>
      </c>
    </row>
    <row r="34" spans="1:3" ht="27" x14ac:dyDescent="0.6">
      <c r="A34" s="97" t="s">
        <v>251</v>
      </c>
      <c r="B34" s="97" t="s">
        <v>240</v>
      </c>
      <c r="C34" s="97" t="s">
        <v>241</v>
      </c>
    </row>
    <row r="35" spans="1:3" ht="27" x14ac:dyDescent="0.6">
      <c r="A35" s="97" t="s">
        <v>252</v>
      </c>
      <c r="B35" s="97" t="s">
        <v>253</v>
      </c>
      <c r="C35" s="97">
        <v>2</v>
      </c>
    </row>
    <row r="36" spans="1:3" ht="27" x14ac:dyDescent="0.6">
      <c r="A36" s="97"/>
      <c r="B36" s="97" t="s">
        <v>254</v>
      </c>
      <c r="C36" s="97">
        <v>3</v>
      </c>
    </row>
    <row r="37" spans="1:3" ht="27" x14ac:dyDescent="0.6">
      <c r="A37" s="97"/>
      <c r="B37" s="97" t="s">
        <v>255</v>
      </c>
      <c r="C37" s="97">
        <v>4</v>
      </c>
    </row>
  </sheetData>
  <mergeCells count="4">
    <mergeCell ref="A2:B2"/>
    <mergeCell ref="C2:F2"/>
    <mergeCell ref="A4:A6"/>
    <mergeCell ref="A8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E875-83BA-9043-AD94-AC27D1045103}">
  <dimension ref="A1:M10"/>
  <sheetViews>
    <sheetView topLeftCell="A2" zoomScale="116" zoomScaleNormal="170" workbookViewId="0">
      <selection activeCell="B4" sqref="B4:B5"/>
    </sheetView>
  </sheetViews>
  <sheetFormatPr defaultColWidth="10.875" defaultRowHeight="15.75" x14ac:dyDescent="0.25"/>
  <cols>
    <col min="1" max="1" width="5.125" style="1" bestFit="1" customWidth="1"/>
    <col min="2" max="2" width="25.75" style="1" bestFit="1" customWidth="1"/>
    <col min="3" max="3" width="25.25" style="1" customWidth="1"/>
    <col min="4" max="12" width="10.875" style="1"/>
    <col min="13" max="13" width="43.375" style="1" customWidth="1"/>
    <col min="14" max="16384" width="10.875" style="1"/>
  </cols>
  <sheetData>
    <row r="1" spans="1:13" ht="36" x14ac:dyDescent="0.8">
      <c r="A1" s="102" t="s">
        <v>151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36" x14ac:dyDescent="0.8">
      <c r="A2" s="102" t="s">
        <v>152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" x14ac:dyDescent="0.75">
      <c r="A3" s="76" t="s">
        <v>275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32.1" customHeight="1" x14ac:dyDescent="0.25">
      <c r="A4" s="116" t="s">
        <v>114</v>
      </c>
      <c r="B4" s="116" t="s">
        <v>130</v>
      </c>
      <c r="C4" s="116" t="s">
        <v>115</v>
      </c>
      <c r="D4" s="116" t="s">
        <v>142</v>
      </c>
      <c r="E4" s="116" t="s">
        <v>116</v>
      </c>
      <c r="F4" s="116" t="s">
        <v>117</v>
      </c>
      <c r="G4" s="116"/>
      <c r="H4" s="116"/>
      <c r="I4" s="116"/>
      <c r="J4" s="116"/>
      <c r="K4" s="116" t="s">
        <v>143</v>
      </c>
      <c r="L4" s="116" t="s">
        <v>129</v>
      </c>
      <c r="M4" s="116" t="s">
        <v>118</v>
      </c>
    </row>
    <row r="5" spans="1:13" ht="45.95" customHeight="1" x14ac:dyDescent="0.25">
      <c r="A5" s="116"/>
      <c r="B5" s="116"/>
      <c r="C5" s="116"/>
      <c r="D5" s="116"/>
      <c r="E5" s="116"/>
      <c r="F5" s="103">
        <v>5</v>
      </c>
      <c r="G5" s="103">
        <v>4</v>
      </c>
      <c r="H5" s="103">
        <v>3</v>
      </c>
      <c r="I5" s="103">
        <v>2</v>
      </c>
      <c r="J5" s="103">
        <v>1</v>
      </c>
      <c r="K5" s="116"/>
      <c r="L5" s="116"/>
      <c r="M5" s="116"/>
    </row>
    <row r="6" spans="1:13" ht="54" customHeight="1" x14ac:dyDescent="0.55000000000000004">
      <c r="A6" s="73" t="s">
        <v>119</v>
      </c>
      <c r="B6" s="74" t="s">
        <v>238</v>
      </c>
      <c r="C6" s="74" t="s">
        <v>228</v>
      </c>
      <c r="D6" s="104">
        <v>70</v>
      </c>
      <c r="E6" s="105">
        <v>100</v>
      </c>
      <c r="F6" s="106" t="s">
        <v>223</v>
      </c>
      <c r="G6" s="106" t="s">
        <v>224</v>
      </c>
      <c r="H6" s="106" t="s">
        <v>225</v>
      </c>
      <c r="I6" s="106" t="s">
        <v>226</v>
      </c>
      <c r="J6" s="106" t="s">
        <v>227</v>
      </c>
      <c r="K6" s="107">
        <v>5</v>
      </c>
      <c r="L6" s="108">
        <f>D6*K6/100</f>
        <v>3.5</v>
      </c>
      <c r="M6" s="20" t="s">
        <v>236</v>
      </c>
    </row>
    <row r="7" spans="1:13" ht="57" customHeight="1" x14ac:dyDescent="0.55000000000000004">
      <c r="A7" s="73" t="s">
        <v>122</v>
      </c>
      <c r="B7" s="74" t="s">
        <v>123</v>
      </c>
      <c r="C7" s="74" t="s">
        <v>228</v>
      </c>
      <c r="D7" s="109"/>
      <c r="E7" s="105">
        <v>100</v>
      </c>
      <c r="F7" s="106" t="s">
        <v>223</v>
      </c>
      <c r="G7" s="106" t="s">
        <v>224</v>
      </c>
      <c r="H7" s="106" t="s">
        <v>225</v>
      </c>
      <c r="I7" s="106" t="s">
        <v>226</v>
      </c>
      <c r="J7" s="106" t="s">
        <v>227</v>
      </c>
      <c r="K7" s="107">
        <v>5</v>
      </c>
      <c r="L7" s="110">
        <f t="shared" ref="L7:L9" si="0">D7*K7/100</f>
        <v>0</v>
      </c>
      <c r="M7" s="20" t="s">
        <v>236</v>
      </c>
    </row>
    <row r="8" spans="1:13" ht="54" customHeight="1" x14ac:dyDescent="0.25">
      <c r="A8" s="73" t="s">
        <v>124</v>
      </c>
      <c r="B8" s="74" t="s">
        <v>238</v>
      </c>
      <c r="C8" s="74" t="s">
        <v>131</v>
      </c>
      <c r="D8" s="104">
        <v>15</v>
      </c>
      <c r="E8" s="105">
        <v>100</v>
      </c>
      <c r="F8" s="111" t="s">
        <v>126</v>
      </c>
      <c r="G8" s="111" t="s">
        <v>127</v>
      </c>
      <c r="H8" s="111" t="s">
        <v>120</v>
      </c>
      <c r="I8" s="111" t="s">
        <v>121</v>
      </c>
      <c r="J8" s="111" t="s">
        <v>128</v>
      </c>
      <c r="K8" s="107">
        <v>5</v>
      </c>
      <c r="L8" s="110">
        <f t="shared" si="0"/>
        <v>0.75</v>
      </c>
      <c r="M8" s="73"/>
    </row>
    <row r="9" spans="1:13" ht="27" x14ac:dyDescent="0.25">
      <c r="A9" s="73" t="s">
        <v>125</v>
      </c>
      <c r="B9" s="74" t="s">
        <v>123</v>
      </c>
      <c r="C9" s="74" t="s">
        <v>131</v>
      </c>
      <c r="D9" s="104">
        <v>15</v>
      </c>
      <c r="E9" s="105">
        <v>100</v>
      </c>
      <c r="F9" s="111" t="s">
        <v>126</v>
      </c>
      <c r="G9" s="111" t="s">
        <v>127</v>
      </c>
      <c r="H9" s="111" t="s">
        <v>120</v>
      </c>
      <c r="I9" s="111" t="s">
        <v>121</v>
      </c>
      <c r="J9" s="111" t="s">
        <v>128</v>
      </c>
      <c r="K9" s="107">
        <v>5</v>
      </c>
      <c r="L9" s="110">
        <f t="shared" si="0"/>
        <v>0.75</v>
      </c>
      <c r="M9" s="73"/>
    </row>
    <row r="10" spans="1:13" ht="27" x14ac:dyDescent="0.25">
      <c r="A10" s="112"/>
      <c r="B10" s="112"/>
      <c r="C10" s="112"/>
      <c r="D10" s="104">
        <v>100</v>
      </c>
      <c r="E10" s="113"/>
      <c r="F10" s="113"/>
      <c r="G10" s="113"/>
      <c r="H10" s="113"/>
      <c r="I10" s="113"/>
      <c r="J10" s="113"/>
      <c r="K10" s="113"/>
      <c r="L10" s="108">
        <f>SUM(L6:L9)</f>
        <v>5</v>
      </c>
      <c r="M10" s="112"/>
    </row>
  </sheetData>
  <mergeCells count="9">
    <mergeCell ref="F4:J4"/>
    <mergeCell ref="K4:K5"/>
    <mergeCell ref="L4:L5"/>
    <mergeCell ref="M4:M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CAA-62A4-6C45-AE2D-2D2A1335744C}">
  <dimension ref="A1:K21"/>
  <sheetViews>
    <sheetView zoomScale="125" zoomScaleNormal="125" workbookViewId="0">
      <selection activeCell="B3" sqref="B3"/>
    </sheetView>
  </sheetViews>
  <sheetFormatPr defaultColWidth="11" defaultRowHeight="18.75" x14ac:dyDescent="0.45"/>
  <cols>
    <col min="1" max="1" width="78.25" style="26" customWidth="1"/>
    <col min="2" max="3" width="11.125" style="26" bestFit="1" customWidth="1"/>
    <col min="4" max="4" width="12.75" style="26" bestFit="1" customWidth="1"/>
    <col min="5" max="7" width="11" style="26"/>
    <col min="8" max="8" width="11.125" style="26" bestFit="1" customWidth="1"/>
    <col min="9" max="9" width="11" style="26"/>
    <col min="10" max="10" width="22.375" style="26" bestFit="1" customWidth="1"/>
    <col min="11" max="11" width="28.75" style="26" bestFit="1" customWidth="1"/>
    <col min="12" max="16384" width="11" style="26"/>
  </cols>
  <sheetData>
    <row r="1" spans="1:11" x14ac:dyDescent="0.45">
      <c r="A1" s="26" t="s">
        <v>158</v>
      </c>
    </row>
    <row r="2" spans="1:11" ht="65.25" x14ac:dyDescent="0.45">
      <c r="A2" s="16" t="s">
        <v>155</v>
      </c>
      <c r="B2" s="16" t="s">
        <v>175</v>
      </c>
      <c r="C2" s="16" t="s">
        <v>176</v>
      </c>
      <c r="D2" s="17" t="s">
        <v>196</v>
      </c>
      <c r="H2" s="7" t="s">
        <v>159</v>
      </c>
      <c r="I2" s="7" t="s">
        <v>160</v>
      </c>
      <c r="J2" s="7" t="s">
        <v>161</v>
      </c>
      <c r="K2" s="7" t="s">
        <v>162</v>
      </c>
    </row>
    <row r="3" spans="1:11" ht="48.75" thickBot="1" x14ac:dyDescent="0.5">
      <c r="A3" s="4" t="s">
        <v>156</v>
      </c>
      <c r="B3" s="15">
        <f>SumKPI!L10</f>
        <v>5</v>
      </c>
      <c r="C3" s="18">
        <v>70</v>
      </c>
      <c r="D3" s="19">
        <f>B3*C3/100</f>
        <v>3.5</v>
      </c>
      <c r="H3" s="7" t="s">
        <v>163</v>
      </c>
      <c r="I3" s="7" t="s">
        <v>160</v>
      </c>
      <c r="J3" s="7" t="s">
        <v>164</v>
      </c>
      <c r="K3" s="7" t="s">
        <v>165</v>
      </c>
    </row>
    <row r="4" spans="1:11" ht="48.75" thickBot="1" x14ac:dyDescent="0.5">
      <c r="A4" s="4" t="s">
        <v>157</v>
      </c>
      <c r="B4" s="15">
        <f>CC!I17</f>
        <v>4.4444444444444446</v>
      </c>
      <c r="C4" s="18">
        <v>30</v>
      </c>
      <c r="D4" s="5">
        <f>B4*C4/100</f>
        <v>1.3333333333333335</v>
      </c>
      <c r="H4" s="7" t="s">
        <v>166</v>
      </c>
      <c r="I4" s="7" t="s">
        <v>160</v>
      </c>
      <c r="J4" s="7" t="s">
        <v>167</v>
      </c>
      <c r="K4" s="7" t="s">
        <v>168</v>
      </c>
    </row>
    <row r="5" spans="1:11" ht="23.1" customHeight="1" thickBot="1" x14ac:dyDescent="0.5">
      <c r="A5" s="6" t="s">
        <v>75</v>
      </c>
      <c r="B5" s="3"/>
      <c r="C5" s="18">
        <v>100</v>
      </c>
      <c r="D5" s="19">
        <f>SUM(D3,D4)</f>
        <v>4.8333333333333339</v>
      </c>
      <c r="H5" s="7" t="s">
        <v>169</v>
      </c>
      <c r="I5" s="7" t="s">
        <v>160</v>
      </c>
      <c r="J5" s="7" t="s">
        <v>170</v>
      </c>
      <c r="K5" s="7" t="s">
        <v>171</v>
      </c>
    </row>
    <row r="6" spans="1:11" ht="24" x14ac:dyDescent="0.45">
      <c r="H6" s="8" t="s">
        <v>172</v>
      </c>
      <c r="I6" s="8" t="s">
        <v>160</v>
      </c>
      <c r="J6" s="8" t="s">
        <v>173</v>
      </c>
      <c r="K6" s="8" t="s">
        <v>174</v>
      </c>
    </row>
    <row r="12" spans="1:11" x14ac:dyDescent="0.45">
      <c r="A12" s="26" t="s">
        <v>177</v>
      </c>
    </row>
    <row r="13" spans="1:11" x14ac:dyDescent="0.45">
      <c r="A13" s="26" t="s">
        <v>178</v>
      </c>
    </row>
    <row r="14" spans="1:11" x14ac:dyDescent="0.45">
      <c r="A14" s="114" t="s">
        <v>284</v>
      </c>
    </row>
    <row r="15" spans="1:11" x14ac:dyDescent="0.45">
      <c r="A15" s="114" t="s">
        <v>285</v>
      </c>
    </row>
    <row r="16" spans="1:11" x14ac:dyDescent="0.45">
      <c r="A16" s="114" t="s">
        <v>286</v>
      </c>
    </row>
    <row r="18" spans="1:1" x14ac:dyDescent="0.45">
      <c r="A18" s="26" t="s">
        <v>179</v>
      </c>
    </row>
    <row r="19" spans="1:1" x14ac:dyDescent="0.45">
      <c r="A19" s="114" t="s">
        <v>283</v>
      </c>
    </row>
    <row r="20" spans="1:1" x14ac:dyDescent="0.45">
      <c r="A20" s="114" t="s">
        <v>287</v>
      </c>
    </row>
    <row r="21" spans="1:1" x14ac:dyDescent="0.45">
      <c r="A21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4046-0E98-BB4E-BBCE-C963C0B63AE7}">
  <dimension ref="A1:K11"/>
  <sheetViews>
    <sheetView workbookViewId="0">
      <selection activeCell="B4" sqref="B4"/>
    </sheetView>
  </sheetViews>
  <sheetFormatPr defaultColWidth="11" defaultRowHeight="15.75" x14ac:dyDescent="0.25"/>
  <cols>
    <col min="1" max="1" width="42.75" customWidth="1"/>
    <col min="2" max="2" width="31.75" customWidth="1"/>
  </cols>
  <sheetData>
    <row r="1" spans="1:11" ht="29.25" thickBot="1" x14ac:dyDescent="0.5">
      <c r="A1" s="2" t="s">
        <v>180</v>
      </c>
    </row>
    <row r="2" spans="1:11" ht="44.25" thickBot="1" x14ac:dyDescent="0.3">
      <c r="A2" s="120" t="s">
        <v>181</v>
      </c>
      <c r="B2" s="120" t="s">
        <v>182</v>
      </c>
      <c r="C2" s="122" t="s">
        <v>183</v>
      </c>
      <c r="D2" s="123"/>
      <c r="E2" s="122" t="s">
        <v>184</v>
      </c>
      <c r="F2" s="124"/>
      <c r="G2" s="124"/>
      <c r="H2" s="123"/>
      <c r="I2" s="9" t="s">
        <v>185</v>
      </c>
      <c r="J2" s="125" t="s">
        <v>187</v>
      </c>
      <c r="K2" s="126"/>
    </row>
    <row r="3" spans="1:11" ht="44.25" thickBot="1" x14ac:dyDescent="0.3">
      <c r="A3" s="121"/>
      <c r="B3" s="121"/>
      <c r="C3" s="11" t="s">
        <v>188</v>
      </c>
      <c r="D3" s="11" t="s">
        <v>189</v>
      </c>
      <c r="E3" s="10" t="s">
        <v>190</v>
      </c>
      <c r="F3" s="10" t="s">
        <v>191</v>
      </c>
      <c r="G3" s="10" t="s">
        <v>192</v>
      </c>
      <c r="H3" s="10" t="s">
        <v>193</v>
      </c>
      <c r="I3" s="10" t="s">
        <v>186</v>
      </c>
      <c r="J3" s="11" t="s">
        <v>194</v>
      </c>
      <c r="K3" s="11" t="s">
        <v>195</v>
      </c>
    </row>
    <row r="4" spans="1:11" ht="44.25" thickBot="1" x14ac:dyDescent="0.3">
      <c r="A4" s="12" t="s">
        <v>276</v>
      </c>
      <c r="B4" s="13"/>
      <c r="C4" s="13"/>
      <c r="D4" s="13"/>
      <c r="E4" s="14"/>
      <c r="F4" s="13"/>
      <c r="G4" s="13"/>
      <c r="H4" s="13"/>
      <c r="I4" s="13"/>
      <c r="J4" s="13"/>
      <c r="K4" s="13"/>
    </row>
    <row r="5" spans="1:11" ht="22.5" thickBot="1" x14ac:dyDescent="0.3">
      <c r="A5" s="12" t="s">
        <v>277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ht="22.5" thickBot="1" x14ac:dyDescent="0.3">
      <c r="A6" s="12" t="s">
        <v>278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44.25" thickBot="1" x14ac:dyDescent="0.3">
      <c r="A7" s="12" t="s">
        <v>279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22.5" thickBot="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22.5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22.5" thickBot="1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2.5" thickBo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</row>
  </sheetData>
  <mergeCells count="5">
    <mergeCell ref="A2:A3"/>
    <mergeCell ref="B2:B3"/>
    <mergeCell ref="C2:D2"/>
    <mergeCell ref="E2:H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JD</vt:lpstr>
      <vt:lpstr>KPI</vt:lpstr>
      <vt:lpstr>CC</vt:lpstr>
      <vt:lpstr>SumKPI</vt:lpstr>
      <vt:lpstr>Part7,8</vt:lpstr>
      <vt:lpstr>Part12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Chanisorn Theerachat</dc:creator>
  <cp:lastModifiedBy>กรกช พรมใจมั่น</cp:lastModifiedBy>
  <dcterms:created xsi:type="dcterms:W3CDTF">2020-03-12T06:51:43Z</dcterms:created>
  <dcterms:modified xsi:type="dcterms:W3CDTF">2026-03-13T06:08:19Z</dcterms:modified>
</cp:coreProperties>
</file>